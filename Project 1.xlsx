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5.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mc:AlternateContent xmlns:mc="http://schemas.openxmlformats.org/markup-compatibility/2006">
    <mc:Choice Requires="x15">
      <x15ac:absPath xmlns:x15ac="http://schemas.microsoft.com/office/spreadsheetml/2010/11/ac" url="C:\Users\Praveen\Downloads\Data set\"/>
    </mc:Choice>
  </mc:AlternateContent>
  <xr:revisionPtr revIDLastSave="0" documentId="13_ncr:1_{5921F59B-8A98-4994-8F9A-0FD18F53A867}" xr6:coauthVersionLast="47" xr6:coauthVersionMax="47" xr10:uidLastSave="{00000000-0000-0000-0000-000000000000}"/>
  <bookViews>
    <workbookView xWindow="0" yWindow="0" windowWidth="23040" windowHeight="12960" activeTab="4" xr2:uid="{00000000-000D-0000-FFFF-FFFF00000000}"/>
  </bookViews>
  <sheets>
    <sheet name="dataset_1" sheetId="1" r:id="rId1"/>
    <sheet name="Sheet 1" sheetId="15" r:id="rId2"/>
    <sheet name="Sheet 2" sheetId="16" r:id="rId3"/>
    <sheet name="Sheet3" sheetId="21" r:id="rId4"/>
    <sheet name="Sheet4" sheetId="26" r:id="rId5"/>
    <sheet name="Final report" sheetId="10" r:id="rId6"/>
  </sheets>
  <definedNames>
    <definedName name="_xlnm._FilterDatabase" localSheetId="0" hidden="1">dataset_1!$A$1:$N$611</definedName>
    <definedName name="Slicer_Name_of_days">#N/A</definedName>
    <definedName name="Slicer_Shifts1">#N/A</definedName>
    <definedName name="Slicer_Temprature1">#N/A</definedName>
    <definedName name="Slicer_Weather_sit1">#N/A</definedName>
  </definedNames>
  <calcPr calcId="191029"/>
  <pivotCaches>
    <pivotCache cacheId="2" r:id="rId7"/>
    <pivotCache cacheId="3" r:id="rId8"/>
  </pivotCaches>
  <extLst>
    <ext xmlns:x14="http://schemas.microsoft.com/office/spreadsheetml/2009/9/main" uri="{BBE1A952-AA13-448e-AADC-164F8A28A991}">
      <x14:slicerCaches>
        <x14:slicerCache r:id="rId9"/>
        <x14:slicerCache r:id="rId10"/>
        <x14:slicerCache r:id="rId11"/>
        <x14:slicerCache r:id="rId12"/>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Project 2_df443e39-217e-4782-91f8-f1dae6e65dba" name="Project 2" connection="Query - Project 2"/>
          <x15:modelTable id="Sheet 2_3710ad53-9931-46d5-a582-9ea84674a7f3" name="Sheet 2" connection="Query - Sheet 2"/>
          <x15:modelTable id="Sheet 3_a95083dc-ebac-400d-926d-da4e3a86f856" name="Sheet 3" connection="Query - Sheet 3"/>
          <x15:modelTable id="Sheet 4_5bd7e4f8-4f3f-4482-a2d9-8bca638de7fa" name="Sheet 4" connection="Query - Sheet 4"/>
          <x15:modelTable id="Sheet5_6c38712e-b739-4140-951f-eb10a4bb3f66" name="Sheet5" connection="Query - Sheet5"/>
          <x15:modelTable id="Sheet6_4e6b33ad-9105-4faa-a70d-ad57f1aa4be6" name="Sheet6" connection="Query - Sheet6"/>
          <x15:modelTable id="Final report_6794935a-133d-4617-baa6-7240720bb8b2" name="Final report" connection="Query - Final report"/>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K31" i="1" l="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K102" i="1"/>
  <c r="K103" i="1"/>
  <c r="K104" i="1"/>
  <c r="K105" i="1"/>
  <c r="K106" i="1"/>
  <c r="K107" i="1"/>
  <c r="K108" i="1"/>
  <c r="K109" i="1"/>
  <c r="K110" i="1"/>
  <c r="K111" i="1"/>
  <c r="K112" i="1"/>
  <c r="K113" i="1"/>
  <c r="K114" i="1"/>
  <c r="K115" i="1"/>
  <c r="K116" i="1"/>
  <c r="K117" i="1"/>
  <c r="K118" i="1"/>
  <c r="K119" i="1"/>
  <c r="K120" i="1"/>
  <c r="K121" i="1"/>
  <c r="K122" i="1"/>
  <c r="K123" i="1"/>
  <c r="K124" i="1"/>
  <c r="K125" i="1"/>
  <c r="K126" i="1"/>
  <c r="K127" i="1"/>
  <c r="K128" i="1"/>
  <c r="K129" i="1"/>
  <c r="K130" i="1"/>
  <c r="K131" i="1"/>
  <c r="K132" i="1"/>
  <c r="K133" i="1"/>
  <c r="K134" i="1"/>
  <c r="K135" i="1"/>
  <c r="K136" i="1"/>
  <c r="K137" i="1"/>
  <c r="K138" i="1"/>
  <c r="K139" i="1"/>
  <c r="K140" i="1"/>
  <c r="K141" i="1"/>
  <c r="K142" i="1"/>
  <c r="K143" i="1"/>
  <c r="K144" i="1"/>
  <c r="K145" i="1"/>
  <c r="K146" i="1"/>
  <c r="K147" i="1"/>
  <c r="K148" i="1"/>
  <c r="K149" i="1"/>
  <c r="K150" i="1"/>
  <c r="K151" i="1"/>
  <c r="K152" i="1"/>
  <c r="K153" i="1"/>
  <c r="K154" i="1"/>
  <c r="K155" i="1"/>
  <c r="K156" i="1"/>
  <c r="K157" i="1"/>
  <c r="K158" i="1"/>
  <c r="K159" i="1"/>
  <c r="K160" i="1"/>
  <c r="K161" i="1"/>
  <c r="K162" i="1"/>
  <c r="K163" i="1"/>
  <c r="K164" i="1"/>
  <c r="K165" i="1"/>
  <c r="K166" i="1"/>
  <c r="K167" i="1"/>
  <c r="K168" i="1"/>
  <c r="K169" i="1"/>
  <c r="K170" i="1"/>
  <c r="K171" i="1"/>
  <c r="K172" i="1"/>
  <c r="K173" i="1"/>
  <c r="K174" i="1"/>
  <c r="K175" i="1"/>
  <c r="K176" i="1"/>
  <c r="K177" i="1"/>
  <c r="K178" i="1"/>
  <c r="K179" i="1"/>
  <c r="K180" i="1"/>
  <c r="K181" i="1"/>
  <c r="K182" i="1"/>
  <c r="K183" i="1"/>
  <c r="K184" i="1"/>
  <c r="K185" i="1"/>
  <c r="K186" i="1"/>
  <c r="K187" i="1"/>
  <c r="K188" i="1"/>
  <c r="K189" i="1"/>
  <c r="K190" i="1"/>
  <c r="K191" i="1"/>
  <c r="K192" i="1"/>
  <c r="K193" i="1"/>
  <c r="K194" i="1"/>
  <c r="K195" i="1"/>
  <c r="K196" i="1"/>
  <c r="K197" i="1"/>
  <c r="K198" i="1"/>
  <c r="K199" i="1"/>
  <c r="K200" i="1"/>
  <c r="K201" i="1"/>
  <c r="K202" i="1"/>
  <c r="K203" i="1"/>
  <c r="K204" i="1"/>
  <c r="K205" i="1"/>
  <c r="K206" i="1"/>
  <c r="K207" i="1"/>
  <c r="K208" i="1"/>
  <c r="K209" i="1"/>
  <c r="K210" i="1"/>
  <c r="K211" i="1"/>
  <c r="K212" i="1"/>
  <c r="K213" i="1"/>
  <c r="K214" i="1"/>
  <c r="K215" i="1"/>
  <c r="K216" i="1"/>
  <c r="K217" i="1"/>
  <c r="K218" i="1"/>
  <c r="K219" i="1"/>
  <c r="K220" i="1"/>
  <c r="K221" i="1"/>
  <c r="K222" i="1"/>
  <c r="K223" i="1"/>
  <c r="K224" i="1"/>
  <c r="K225" i="1"/>
  <c r="K226" i="1"/>
  <c r="K227" i="1"/>
  <c r="K228" i="1"/>
  <c r="K229" i="1"/>
  <c r="K230" i="1"/>
  <c r="K231" i="1"/>
  <c r="K232" i="1"/>
  <c r="K233" i="1"/>
  <c r="K234" i="1"/>
  <c r="K235" i="1"/>
  <c r="K236" i="1"/>
  <c r="K237" i="1"/>
  <c r="K238" i="1"/>
  <c r="K239" i="1"/>
  <c r="K240" i="1"/>
  <c r="K241" i="1"/>
  <c r="K242" i="1"/>
  <c r="K243" i="1"/>
  <c r="K244" i="1"/>
  <c r="K245" i="1"/>
  <c r="K246" i="1"/>
  <c r="K247" i="1"/>
  <c r="K248" i="1"/>
  <c r="K249" i="1"/>
  <c r="K250" i="1"/>
  <c r="K251" i="1"/>
  <c r="K252" i="1"/>
  <c r="K253" i="1"/>
  <c r="K254" i="1"/>
  <c r="K255" i="1"/>
  <c r="K256" i="1"/>
  <c r="K257" i="1"/>
  <c r="K258" i="1"/>
  <c r="K259" i="1"/>
  <c r="K260" i="1"/>
  <c r="K261" i="1"/>
  <c r="K262" i="1"/>
  <c r="K263" i="1"/>
  <c r="K264" i="1"/>
  <c r="K265" i="1"/>
  <c r="K266" i="1"/>
  <c r="K267" i="1"/>
  <c r="K268" i="1"/>
  <c r="K269" i="1"/>
  <c r="K270" i="1"/>
  <c r="K271" i="1"/>
  <c r="K272" i="1"/>
  <c r="K273" i="1"/>
  <c r="K274" i="1"/>
  <c r="K275" i="1"/>
  <c r="K276" i="1"/>
  <c r="K277" i="1"/>
  <c r="K278" i="1"/>
  <c r="K279" i="1"/>
  <c r="K280" i="1"/>
  <c r="K281" i="1"/>
  <c r="K282" i="1"/>
  <c r="K283" i="1"/>
  <c r="K284" i="1"/>
  <c r="K285" i="1"/>
  <c r="K286" i="1"/>
  <c r="K287" i="1"/>
  <c r="K288" i="1"/>
  <c r="K289" i="1"/>
  <c r="K290" i="1"/>
  <c r="K291" i="1"/>
  <c r="K292" i="1"/>
  <c r="K293" i="1"/>
  <c r="K294" i="1"/>
  <c r="K295" i="1"/>
  <c r="K296" i="1"/>
  <c r="K297" i="1"/>
  <c r="K298" i="1"/>
  <c r="K299" i="1"/>
  <c r="K300" i="1"/>
  <c r="K301" i="1"/>
  <c r="K302" i="1"/>
  <c r="K303" i="1"/>
  <c r="K304" i="1"/>
  <c r="K305" i="1"/>
  <c r="K306" i="1"/>
  <c r="K307" i="1"/>
  <c r="K308" i="1"/>
  <c r="K309" i="1"/>
  <c r="K310" i="1"/>
  <c r="K311" i="1"/>
  <c r="K312" i="1"/>
  <c r="K313" i="1"/>
  <c r="K314" i="1"/>
  <c r="K315" i="1"/>
  <c r="K316" i="1"/>
  <c r="K317" i="1"/>
  <c r="K318" i="1"/>
  <c r="K319" i="1"/>
  <c r="K320" i="1"/>
  <c r="K321" i="1"/>
  <c r="K322" i="1"/>
  <c r="K323" i="1"/>
  <c r="K324" i="1"/>
  <c r="K325" i="1"/>
  <c r="K326" i="1"/>
  <c r="K327" i="1"/>
  <c r="K328" i="1"/>
  <c r="K329" i="1"/>
  <c r="K330" i="1"/>
  <c r="K331" i="1"/>
  <c r="K332" i="1"/>
  <c r="K333" i="1"/>
  <c r="K334" i="1"/>
  <c r="K335" i="1"/>
  <c r="K336" i="1"/>
  <c r="K337" i="1"/>
  <c r="K338" i="1"/>
  <c r="K339" i="1"/>
  <c r="K340" i="1"/>
  <c r="K341" i="1"/>
  <c r="K342" i="1"/>
  <c r="K343" i="1"/>
  <c r="K344" i="1"/>
  <c r="K345" i="1"/>
  <c r="K346" i="1"/>
  <c r="K347" i="1"/>
  <c r="K348" i="1"/>
  <c r="K349" i="1"/>
  <c r="K350" i="1"/>
  <c r="K351" i="1"/>
  <c r="K352" i="1"/>
  <c r="K353" i="1"/>
  <c r="K354" i="1"/>
  <c r="K355" i="1"/>
  <c r="K356" i="1"/>
  <c r="K357" i="1"/>
  <c r="K358" i="1"/>
  <c r="K359" i="1"/>
  <c r="K360" i="1"/>
  <c r="K361" i="1"/>
  <c r="K362" i="1"/>
  <c r="K363" i="1"/>
  <c r="K364" i="1"/>
  <c r="K365" i="1"/>
  <c r="K366" i="1"/>
  <c r="K367" i="1"/>
  <c r="K368" i="1"/>
  <c r="K369" i="1"/>
  <c r="K370" i="1"/>
  <c r="K371" i="1"/>
  <c r="K372" i="1"/>
  <c r="K373" i="1"/>
  <c r="K374" i="1"/>
  <c r="K375" i="1"/>
  <c r="K376" i="1"/>
  <c r="K377" i="1"/>
  <c r="K378" i="1"/>
  <c r="K379" i="1"/>
  <c r="K380" i="1"/>
  <c r="K381" i="1"/>
  <c r="K382" i="1"/>
  <c r="K383" i="1"/>
  <c r="K384" i="1"/>
  <c r="K385" i="1"/>
  <c r="K386" i="1"/>
  <c r="K387" i="1"/>
  <c r="K388" i="1"/>
  <c r="K389" i="1"/>
  <c r="K390" i="1"/>
  <c r="K391" i="1"/>
  <c r="K392" i="1"/>
  <c r="K393" i="1"/>
  <c r="K394" i="1"/>
  <c r="K395" i="1"/>
  <c r="K396" i="1"/>
  <c r="K397" i="1"/>
  <c r="K398" i="1"/>
  <c r="K399" i="1"/>
  <c r="K400" i="1"/>
  <c r="K401" i="1"/>
  <c r="K402" i="1"/>
  <c r="K403" i="1"/>
  <c r="K404" i="1"/>
  <c r="K405" i="1"/>
  <c r="K406" i="1"/>
  <c r="K407" i="1"/>
  <c r="K408" i="1"/>
  <c r="K409" i="1"/>
  <c r="K410" i="1"/>
  <c r="K411" i="1"/>
  <c r="K412" i="1"/>
  <c r="K413" i="1"/>
  <c r="K414" i="1"/>
  <c r="K415" i="1"/>
  <c r="K416" i="1"/>
  <c r="K417" i="1"/>
  <c r="K418" i="1"/>
  <c r="K419" i="1"/>
  <c r="K420" i="1"/>
  <c r="K421" i="1"/>
  <c r="K422" i="1"/>
  <c r="K423" i="1"/>
  <c r="K424" i="1"/>
  <c r="K425" i="1"/>
  <c r="K426" i="1"/>
  <c r="K427" i="1"/>
  <c r="K428" i="1"/>
  <c r="K429" i="1"/>
  <c r="K430" i="1"/>
  <c r="K431" i="1"/>
  <c r="K432" i="1"/>
  <c r="K433" i="1"/>
  <c r="K434" i="1"/>
  <c r="K435" i="1"/>
  <c r="K436" i="1"/>
  <c r="K437" i="1"/>
  <c r="K438" i="1"/>
  <c r="K439" i="1"/>
  <c r="K440" i="1"/>
  <c r="K441" i="1"/>
  <c r="K442" i="1"/>
  <c r="K443" i="1"/>
  <c r="K444" i="1"/>
  <c r="K445" i="1"/>
  <c r="K446" i="1"/>
  <c r="K447" i="1"/>
  <c r="K448" i="1"/>
  <c r="K449" i="1"/>
  <c r="K450" i="1"/>
  <c r="K451" i="1"/>
  <c r="K452" i="1"/>
  <c r="K453" i="1"/>
  <c r="K454" i="1"/>
  <c r="K455" i="1"/>
  <c r="K456" i="1"/>
  <c r="K457" i="1"/>
  <c r="K458" i="1"/>
  <c r="K459" i="1"/>
  <c r="K460" i="1"/>
  <c r="K461" i="1"/>
  <c r="K462" i="1"/>
  <c r="K463" i="1"/>
  <c r="K464" i="1"/>
  <c r="K465" i="1"/>
  <c r="K466" i="1"/>
  <c r="K467" i="1"/>
  <c r="K468" i="1"/>
  <c r="K469" i="1"/>
  <c r="K470" i="1"/>
  <c r="K471" i="1"/>
  <c r="K472" i="1"/>
  <c r="K473" i="1"/>
  <c r="K474" i="1"/>
  <c r="K475" i="1"/>
  <c r="K476" i="1"/>
  <c r="K477" i="1"/>
  <c r="K478" i="1"/>
  <c r="K479" i="1"/>
  <c r="K480" i="1"/>
  <c r="K481" i="1"/>
  <c r="K482" i="1"/>
  <c r="K483" i="1"/>
  <c r="K484" i="1"/>
  <c r="K485" i="1"/>
  <c r="K486" i="1"/>
  <c r="K487" i="1"/>
  <c r="K488" i="1"/>
  <c r="K489" i="1"/>
  <c r="K490" i="1"/>
  <c r="K491" i="1"/>
  <c r="K492" i="1"/>
  <c r="K493" i="1"/>
  <c r="K494" i="1"/>
  <c r="K495" i="1"/>
  <c r="K496" i="1"/>
  <c r="K497" i="1"/>
  <c r="K498" i="1"/>
  <c r="K499" i="1"/>
  <c r="K500" i="1"/>
  <c r="K501" i="1"/>
  <c r="K502" i="1"/>
  <c r="K503" i="1"/>
  <c r="K504" i="1"/>
  <c r="K505" i="1"/>
  <c r="K506" i="1"/>
  <c r="K507" i="1"/>
  <c r="K508" i="1"/>
  <c r="K509" i="1"/>
  <c r="K510" i="1"/>
  <c r="K511" i="1"/>
  <c r="K512" i="1"/>
  <c r="K513" i="1"/>
  <c r="K514" i="1"/>
  <c r="K515" i="1"/>
  <c r="K516" i="1"/>
  <c r="K517" i="1"/>
  <c r="K518" i="1"/>
  <c r="K519" i="1"/>
  <c r="K520" i="1"/>
  <c r="K521" i="1"/>
  <c r="K522" i="1"/>
  <c r="K523" i="1"/>
  <c r="K524" i="1"/>
  <c r="K525" i="1"/>
  <c r="K526" i="1"/>
  <c r="K527" i="1"/>
  <c r="K528" i="1"/>
  <c r="K529" i="1"/>
  <c r="K530" i="1"/>
  <c r="K531" i="1"/>
  <c r="K532" i="1"/>
  <c r="K533" i="1"/>
  <c r="K534" i="1"/>
  <c r="K535" i="1"/>
  <c r="K536" i="1"/>
  <c r="K537" i="1"/>
  <c r="K538" i="1"/>
  <c r="K539" i="1"/>
  <c r="K540" i="1"/>
  <c r="K541" i="1"/>
  <c r="K542" i="1"/>
  <c r="K543" i="1"/>
  <c r="K544" i="1"/>
  <c r="K545" i="1"/>
  <c r="K546" i="1"/>
  <c r="K547" i="1"/>
  <c r="K548" i="1"/>
  <c r="K549" i="1"/>
  <c r="K550" i="1"/>
  <c r="K551" i="1"/>
  <c r="K552" i="1"/>
  <c r="K553" i="1"/>
  <c r="K554" i="1"/>
  <c r="K555" i="1"/>
  <c r="K556" i="1"/>
  <c r="K557" i="1"/>
  <c r="K558" i="1"/>
  <c r="K559" i="1"/>
  <c r="K560" i="1"/>
  <c r="K561" i="1"/>
  <c r="K562" i="1"/>
  <c r="K563" i="1"/>
  <c r="K564" i="1"/>
  <c r="K565" i="1"/>
  <c r="K566" i="1"/>
  <c r="K567" i="1"/>
  <c r="K568" i="1"/>
  <c r="K569" i="1"/>
  <c r="K570" i="1"/>
  <c r="K571" i="1"/>
  <c r="K572" i="1"/>
  <c r="K573" i="1"/>
  <c r="K574" i="1"/>
  <c r="K575" i="1"/>
  <c r="K576" i="1"/>
  <c r="K577" i="1"/>
  <c r="K578" i="1"/>
  <c r="K579" i="1"/>
  <c r="K580" i="1"/>
  <c r="K581" i="1"/>
  <c r="K582" i="1"/>
  <c r="K583" i="1"/>
  <c r="K584" i="1"/>
  <c r="K585" i="1"/>
  <c r="K586" i="1"/>
  <c r="K587" i="1"/>
  <c r="K588" i="1"/>
  <c r="K589" i="1"/>
  <c r="K590" i="1"/>
  <c r="K591" i="1"/>
  <c r="K592" i="1"/>
  <c r="K593" i="1"/>
  <c r="K594" i="1"/>
  <c r="K595" i="1"/>
  <c r="K596" i="1"/>
  <c r="K597" i="1"/>
  <c r="K598" i="1"/>
  <c r="K599" i="1"/>
  <c r="K600" i="1"/>
  <c r="K601" i="1"/>
  <c r="K602" i="1"/>
  <c r="K603" i="1"/>
  <c r="K604" i="1"/>
  <c r="K605" i="1"/>
  <c r="K606" i="1"/>
  <c r="K607" i="1"/>
  <c r="K608" i="1"/>
  <c r="K609" i="1"/>
  <c r="K610" i="1"/>
  <c r="K611" i="1"/>
  <c r="K3" i="1"/>
  <c r="K4" i="1"/>
  <c r="K5" i="1"/>
  <c r="K6" i="1"/>
  <c r="K7" i="1"/>
  <c r="K8" i="1"/>
  <c r="K9" i="1"/>
  <c r="K10" i="1"/>
  <c r="K11" i="1"/>
  <c r="K12" i="1"/>
  <c r="K13" i="1"/>
  <c r="K14" i="1"/>
  <c r="K15" i="1"/>
  <c r="K16" i="1"/>
  <c r="K17" i="1"/>
  <c r="K18" i="1"/>
  <c r="K19" i="1"/>
  <c r="K20" i="1"/>
  <c r="K21" i="1"/>
  <c r="K22" i="1"/>
  <c r="K23" i="1"/>
  <c r="K24" i="1"/>
  <c r="K25" i="1"/>
  <c r="K26" i="1"/>
  <c r="K27" i="1"/>
  <c r="K28" i="1"/>
  <c r="K29" i="1"/>
  <c r="K30" i="1"/>
  <c r="K2" i="1"/>
  <c r="G3" i="1"/>
  <c r="G4" i="1"/>
  <c r="G2" i="1"/>
  <c r="O58" i="1"/>
  <c r="O59" i="1"/>
  <c r="O60" i="1"/>
  <c r="O61" i="1"/>
  <c r="O62" i="1"/>
  <c r="O63" i="1"/>
  <c r="O64" i="1"/>
  <c r="O65" i="1"/>
  <c r="O66" i="1"/>
  <c r="O67" i="1"/>
  <c r="O68" i="1"/>
  <c r="O69" i="1"/>
  <c r="O70" i="1"/>
  <c r="O71" i="1"/>
  <c r="O72" i="1"/>
  <c r="O73" i="1"/>
  <c r="O74" i="1"/>
  <c r="O75" i="1"/>
  <c r="O76" i="1"/>
  <c r="O77" i="1"/>
  <c r="O78" i="1"/>
  <c r="O79" i="1"/>
  <c r="O80" i="1"/>
  <c r="O81" i="1"/>
  <c r="O82" i="1"/>
  <c r="O83" i="1"/>
  <c r="O84" i="1"/>
  <c r="O85" i="1"/>
  <c r="O86" i="1"/>
  <c r="O87" i="1"/>
  <c r="O88" i="1"/>
  <c r="O89" i="1"/>
  <c r="O90" i="1"/>
  <c r="O91" i="1"/>
  <c r="O92" i="1"/>
  <c r="O93" i="1"/>
  <c r="O94" i="1"/>
  <c r="O95" i="1"/>
  <c r="O96" i="1"/>
  <c r="O97" i="1"/>
  <c r="O98" i="1"/>
  <c r="O99" i="1"/>
  <c r="O100" i="1"/>
  <c r="O101" i="1"/>
  <c r="O102" i="1"/>
  <c r="O103" i="1"/>
  <c r="O104" i="1"/>
  <c r="O105" i="1"/>
  <c r="O106" i="1"/>
  <c r="O107" i="1"/>
  <c r="O108" i="1"/>
  <c r="O109" i="1"/>
  <c r="O110" i="1"/>
  <c r="O111" i="1"/>
  <c r="O112" i="1"/>
  <c r="O113" i="1"/>
  <c r="O114" i="1"/>
  <c r="O115" i="1"/>
  <c r="O116" i="1"/>
  <c r="O117" i="1"/>
  <c r="O118" i="1"/>
  <c r="O119" i="1"/>
  <c r="O120" i="1"/>
  <c r="O121" i="1"/>
  <c r="O122" i="1"/>
  <c r="O123" i="1"/>
  <c r="O124" i="1"/>
  <c r="O125" i="1"/>
  <c r="O126" i="1"/>
  <c r="O127" i="1"/>
  <c r="O128" i="1"/>
  <c r="O129" i="1"/>
  <c r="O130" i="1"/>
  <c r="O131" i="1"/>
  <c r="O132" i="1"/>
  <c r="O133" i="1"/>
  <c r="O134" i="1"/>
  <c r="O135" i="1"/>
  <c r="O136" i="1"/>
  <c r="O137" i="1"/>
  <c r="O138" i="1"/>
  <c r="O139" i="1"/>
  <c r="O140" i="1"/>
  <c r="O141" i="1"/>
  <c r="O142" i="1"/>
  <c r="O143" i="1"/>
  <c r="O144" i="1"/>
  <c r="O145" i="1"/>
  <c r="O146" i="1"/>
  <c r="O147" i="1"/>
  <c r="O148" i="1"/>
  <c r="O149" i="1"/>
  <c r="O150" i="1"/>
  <c r="O151" i="1"/>
  <c r="O152" i="1"/>
  <c r="O153" i="1"/>
  <c r="O154" i="1"/>
  <c r="O155" i="1"/>
  <c r="O156" i="1"/>
  <c r="O157" i="1"/>
  <c r="O158" i="1"/>
  <c r="O159" i="1"/>
  <c r="O160" i="1"/>
  <c r="O161" i="1"/>
  <c r="O162" i="1"/>
  <c r="O163" i="1"/>
  <c r="O164" i="1"/>
  <c r="O165" i="1"/>
  <c r="O166" i="1"/>
  <c r="O167" i="1"/>
  <c r="O168" i="1"/>
  <c r="O169" i="1"/>
  <c r="O170" i="1"/>
  <c r="O171" i="1"/>
  <c r="O172" i="1"/>
  <c r="O173" i="1"/>
  <c r="O174" i="1"/>
  <c r="O175" i="1"/>
  <c r="O176" i="1"/>
  <c r="O177" i="1"/>
  <c r="O178" i="1"/>
  <c r="O179" i="1"/>
  <c r="O180" i="1"/>
  <c r="O181" i="1"/>
  <c r="O182" i="1"/>
  <c r="O183" i="1"/>
  <c r="O184" i="1"/>
  <c r="O185" i="1"/>
  <c r="O186" i="1"/>
  <c r="O187" i="1"/>
  <c r="O188" i="1"/>
  <c r="O189" i="1"/>
  <c r="O190" i="1"/>
  <c r="O191" i="1"/>
  <c r="O192" i="1"/>
  <c r="O193" i="1"/>
  <c r="O194" i="1"/>
  <c r="O195" i="1"/>
  <c r="O196" i="1"/>
  <c r="O197" i="1"/>
  <c r="O198" i="1"/>
  <c r="O199" i="1"/>
  <c r="O200" i="1"/>
  <c r="O201" i="1"/>
  <c r="O202" i="1"/>
  <c r="O203" i="1"/>
  <c r="O204" i="1"/>
  <c r="O205" i="1"/>
  <c r="O206" i="1"/>
  <c r="O207" i="1"/>
  <c r="O208" i="1"/>
  <c r="O209" i="1"/>
  <c r="O210" i="1"/>
  <c r="O211" i="1"/>
  <c r="O212" i="1"/>
  <c r="O213" i="1"/>
  <c r="O214" i="1"/>
  <c r="O215" i="1"/>
  <c r="O216" i="1"/>
  <c r="O217" i="1"/>
  <c r="O218" i="1"/>
  <c r="O219" i="1"/>
  <c r="O220" i="1"/>
  <c r="O221" i="1"/>
  <c r="O222" i="1"/>
  <c r="O223" i="1"/>
  <c r="O224" i="1"/>
  <c r="O225" i="1"/>
  <c r="O226" i="1"/>
  <c r="O227" i="1"/>
  <c r="O228" i="1"/>
  <c r="O229" i="1"/>
  <c r="O230" i="1"/>
  <c r="O231" i="1"/>
  <c r="O232" i="1"/>
  <c r="O233" i="1"/>
  <c r="O234" i="1"/>
  <c r="O235" i="1"/>
  <c r="O236" i="1"/>
  <c r="O237" i="1"/>
  <c r="O238" i="1"/>
  <c r="O239" i="1"/>
  <c r="O240" i="1"/>
  <c r="O241" i="1"/>
  <c r="O242" i="1"/>
  <c r="O243" i="1"/>
  <c r="O244" i="1"/>
  <c r="O245" i="1"/>
  <c r="O246" i="1"/>
  <c r="O247" i="1"/>
  <c r="O248" i="1"/>
  <c r="O249" i="1"/>
  <c r="O250" i="1"/>
  <c r="O251" i="1"/>
  <c r="O252" i="1"/>
  <c r="O253" i="1"/>
  <c r="O254" i="1"/>
  <c r="O255" i="1"/>
  <c r="O256" i="1"/>
  <c r="O257" i="1"/>
  <c r="O258" i="1"/>
  <c r="O259" i="1"/>
  <c r="O260" i="1"/>
  <c r="O261" i="1"/>
  <c r="O262" i="1"/>
  <c r="O263" i="1"/>
  <c r="O264" i="1"/>
  <c r="O265" i="1"/>
  <c r="O266" i="1"/>
  <c r="O267" i="1"/>
  <c r="O268" i="1"/>
  <c r="O269" i="1"/>
  <c r="O270" i="1"/>
  <c r="O271" i="1"/>
  <c r="O272" i="1"/>
  <c r="O273" i="1"/>
  <c r="O274" i="1"/>
  <c r="O275" i="1"/>
  <c r="O276" i="1"/>
  <c r="O277" i="1"/>
  <c r="O278" i="1"/>
  <c r="O279" i="1"/>
  <c r="O280" i="1"/>
  <c r="O281" i="1"/>
  <c r="O282" i="1"/>
  <c r="O283" i="1"/>
  <c r="O284" i="1"/>
  <c r="O285" i="1"/>
  <c r="O286" i="1"/>
  <c r="O287" i="1"/>
  <c r="O288" i="1"/>
  <c r="O289" i="1"/>
  <c r="O290" i="1"/>
  <c r="O291" i="1"/>
  <c r="O292" i="1"/>
  <c r="O293" i="1"/>
  <c r="O294" i="1"/>
  <c r="O295" i="1"/>
  <c r="O296" i="1"/>
  <c r="O297" i="1"/>
  <c r="O298" i="1"/>
  <c r="O299" i="1"/>
  <c r="O300" i="1"/>
  <c r="O301" i="1"/>
  <c r="O302" i="1"/>
  <c r="O303" i="1"/>
  <c r="O304" i="1"/>
  <c r="O305" i="1"/>
  <c r="O306" i="1"/>
  <c r="O307" i="1"/>
  <c r="O308" i="1"/>
  <c r="O309" i="1"/>
  <c r="O310" i="1"/>
  <c r="O311" i="1"/>
  <c r="O312" i="1"/>
  <c r="O313" i="1"/>
  <c r="O314" i="1"/>
  <c r="O315" i="1"/>
  <c r="O316" i="1"/>
  <c r="O317" i="1"/>
  <c r="O318" i="1"/>
  <c r="O319" i="1"/>
  <c r="O320" i="1"/>
  <c r="O321" i="1"/>
  <c r="O322" i="1"/>
  <c r="O323" i="1"/>
  <c r="O324" i="1"/>
  <c r="O325" i="1"/>
  <c r="O326" i="1"/>
  <c r="O327" i="1"/>
  <c r="O328" i="1"/>
  <c r="O329" i="1"/>
  <c r="O330" i="1"/>
  <c r="O331" i="1"/>
  <c r="O332" i="1"/>
  <c r="O333" i="1"/>
  <c r="O334" i="1"/>
  <c r="O335" i="1"/>
  <c r="O336" i="1"/>
  <c r="O337" i="1"/>
  <c r="O338" i="1"/>
  <c r="O339" i="1"/>
  <c r="O340" i="1"/>
  <c r="O341" i="1"/>
  <c r="O342" i="1"/>
  <c r="O343" i="1"/>
  <c r="O344" i="1"/>
  <c r="O345" i="1"/>
  <c r="O346" i="1"/>
  <c r="O347" i="1"/>
  <c r="O348" i="1"/>
  <c r="O349" i="1"/>
  <c r="O350" i="1"/>
  <c r="O351" i="1"/>
  <c r="O352" i="1"/>
  <c r="O353" i="1"/>
  <c r="O354" i="1"/>
  <c r="O355" i="1"/>
  <c r="O356" i="1"/>
  <c r="O357" i="1"/>
  <c r="O358" i="1"/>
  <c r="O359" i="1"/>
  <c r="O360" i="1"/>
  <c r="O361" i="1"/>
  <c r="O362" i="1"/>
  <c r="O363" i="1"/>
  <c r="O364" i="1"/>
  <c r="O365" i="1"/>
  <c r="O366" i="1"/>
  <c r="O367" i="1"/>
  <c r="O368" i="1"/>
  <c r="O369" i="1"/>
  <c r="O370" i="1"/>
  <c r="O371" i="1"/>
  <c r="O372" i="1"/>
  <c r="O373" i="1"/>
  <c r="O374" i="1"/>
  <c r="O375" i="1"/>
  <c r="O376" i="1"/>
  <c r="O377" i="1"/>
  <c r="O378" i="1"/>
  <c r="O379" i="1"/>
  <c r="O380" i="1"/>
  <c r="O381" i="1"/>
  <c r="O382" i="1"/>
  <c r="O383" i="1"/>
  <c r="O384" i="1"/>
  <c r="O385" i="1"/>
  <c r="O386" i="1"/>
  <c r="O387" i="1"/>
  <c r="O388" i="1"/>
  <c r="O389" i="1"/>
  <c r="O390" i="1"/>
  <c r="O391" i="1"/>
  <c r="O392" i="1"/>
  <c r="O393" i="1"/>
  <c r="O394" i="1"/>
  <c r="O395" i="1"/>
  <c r="O396" i="1"/>
  <c r="O397" i="1"/>
  <c r="O398" i="1"/>
  <c r="O399" i="1"/>
  <c r="O400" i="1"/>
  <c r="O401" i="1"/>
  <c r="O402" i="1"/>
  <c r="O403" i="1"/>
  <c r="O404" i="1"/>
  <c r="O405" i="1"/>
  <c r="O406" i="1"/>
  <c r="O407" i="1"/>
  <c r="O408" i="1"/>
  <c r="O409" i="1"/>
  <c r="O410" i="1"/>
  <c r="O411" i="1"/>
  <c r="O412" i="1"/>
  <c r="O413" i="1"/>
  <c r="O414" i="1"/>
  <c r="O415" i="1"/>
  <c r="O416" i="1"/>
  <c r="O417" i="1"/>
  <c r="O418" i="1"/>
  <c r="O419" i="1"/>
  <c r="O420" i="1"/>
  <c r="O421" i="1"/>
  <c r="O422" i="1"/>
  <c r="O423" i="1"/>
  <c r="O424" i="1"/>
  <c r="O425" i="1"/>
  <c r="O426" i="1"/>
  <c r="O427" i="1"/>
  <c r="O428" i="1"/>
  <c r="O429" i="1"/>
  <c r="O430" i="1"/>
  <c r="O431" i="1"/>
  <c r="O432" i="1"/>
  <c r="O433" i="1"/>
  <c r="O434" i="1"/>
  <c r="O435" i="1"/>
  <c r="O436" i="1"/>
  <c r="O437" i="1"/>
  <c r="O438" i="1"/>
  <c r="O439" i="1"/>
  <c r="O440" i="1"/>
  <c r="O441" i="1"/>
  <c r="O442" i="1"/>
  <c r="O443" i="1"/>
  <c r="O444" i="1"/>
  <c r="O445" i="1"/>
  <c r="O446" i="1"/>
  <c r="O447" i="1"/>
  <c r="O448" i="1"/>
  <c r="O449" i="1"/>
  <c r="O450" i="1"/>
  <c r="O451" i="1"/>
  <c r="O452" i="1"/>
  <c r="O453" i="1"/>
  <c r="O454" i="1"/>
  <c r="O455" i="1"/>
  <c r="O456" i="1"/>
  <c r="O457" i="1"/>
  <c r="O458" i="1"/>
  <c r="O459" i="1"/>
  <c r="O460" i="1"/>
  <c r="O461" i="1"/>
  <c r="O462" i="1"/>
  <c r="O463" i="1"/>
  <c r="O464" i="1"/>
  <c r="O465" i="1"/>
  <c r="O466" i="1"/>
  <c r="O467" i="1"/>
  <c r="O468" i="1"/>
  <c r="O469" i="1"/>
  <c r="O470" i="1"/>
  <c r="O471" i="1"/>
  <c r="O472" i="1"/>
  <c r="O473" i="1"/>
  <c r="O474" i="1"/>
  <c r="O475" i="1"/>
  <c r="O476" i="1"/>
  <c r="O477" i="1"/>
  <c r="O478" i="1"/>
  <c r="O479" i="1"/>
  <c r="O480" i="1"/>
  <c r="O481" i="1"/>
  <c r="O482" i="1"/>
  <c r="O483" i="1"/>
  <c r="O484" i="1"/>
  <c r="O485" i="1"/>
  <c r="O486" i="1"/>
  <c r="O487" i="1"/>
  <c r="O488" i="1"/>
  <c r="O489" i="1"/>
  <c r="O490" i="1"/>
  <c r="O491" i="1"/>
  <c r="O492" i="1"/>
  <c r="O493" i="1"/>
  <c r="O494" i="1"/>
  <c r="O495" i="1"/>
  <c r="O496" i="1"/>
  <c r="O497" i="1"/>
  <c r="O498" i="1"/>
  <c r="O499" i="1"/>
  <c r="O500" i="1"/>
  <c r="O501" i="1"/>
  <c r="O502" i="1"/>
  <c r="O503" i="1"/>
  <c r="O504" i="1"/>
  <c r="O505" i="1"/>
  <c r="O506" i="1"/>
  <c r="O507" i="1"/>
  <c r="O508" i="1"/>
  <c r="O509" i="1"/>
  <c r="O510" i="1"/>
  <c r="O511" i="1"/>
  <c r="O512" i="1"/>
  <c r="O513" i="1"/>
  <c r="O514" i="1"/>
  <c r="O515" i="1"/>
  <c r="O516" i="1"/>
  <c r="O517" i="1"/>
  <c r="O518" i="1"/>
  <c r="O519" i="1"/>
  <c r="O520" i="1"/>
  <c r="O521" i="1"/>
  <c r="O522" i="1"/>
  <c r="O523" i="1"/>
  <c r="O524" i="1"/>
  <c r="O525" i="1"/>
  <c r="O526" i="1"/>
  <c r="O527" i="1"/>
  <c r="O528" i="1"/>
  <c r="O529" i="1"/>
  <c r="O530" i="1"/>
  <c r="O531" i="1"/>
  <c r="O532" i="1"/>
  <c r="O533" i="1"/>
  <c r="O534" i="1"/>
  <c r="O535" i="1"/>
  <c r="O536" i="1"/>
  <c r="O537" i="1"/>
  <c r="O538" i="1"/>
  <c r="O539" i="1"/>
  <c r="O540" i="1"/>
  <c r="O541" i="1"/>
  <c r="O542" i="1"/>
  <c r="O543" i="1"/>
  <c r="O544" i="1"/>
  <c r="O545" i="1"/>
  <c r="O546" i="1"/>
  <c r="O547" i="1"/>
  <c r="O548" i="1"/>
  <c r="O549" i="1"/>
  <c r="O550" i="1"/>
  <c r="O551" i="1"/>
  <c r="O552" i="1"/>
  <c r="O553" i="1"/>
  <c r="O554" i="1"/>
  <c r="O555" i="1"/>
  <c r="O556" i="1"/>
  <c r="O557" i="1"/>
  <c r="O558" i="1"/>
  <c r="O559" i="1"/>
  <c r="O560" i="1"/>
  <c r="O561" i="1"/>
  <c r="O562" i="1"/>
  <c r="O563" i="1"/>
  <c r="O564" i="1"/>
  <c r="O565" i="1"/>
  <c r="O566" i="1"/>
  <c r="O567" i="1"/>
  <c r="O568" i="1"/>
  <c r="O569" i="1"/>
  <c r="O570" i="1"/>
  <c r="O571" i="1"/>
  <c r="O572" i="1"/>
  <c r="O573" i="1"/>
  <c r="O574" i="1"/>
  <c r="O575" i="1"/>
  <c r="O576" i="1"/>
  <c r="O577" i="1"/>
  <c r="O578" i="1"/>
  <c r="O579" i="1"/>
  <c r="O580" i="1"/>
  <c r="O581" i="1"/>
  <c r="O582" i="1"/>
  <c r="O583" i="1"/>
  <c r="O584" i="1"/>
  <c r="O585" i="1"/>
  <c r="O586" i="1"/>
  <c r="O587" i="1"/>
  <c r="O588" i="1"/>
  <c r="O589" i="1"/>
  <c r="O590" i="1"/>
  <c r="O591" i="1"/>
  <c r="O592" i="1"/>
  <c r="O593" i="1"/>
  <c r="O594" i="1"/>
  <c r="O595" i="1"/>
  <c r="O596" i="1"/>
  <c r="O597" i="1"/>
  <c r="O598" i="1"/>
  <c r="O599" i="1"/>
  <c r="O600" i="1"/>
  <c r="O601" i="1"/>
  <c r="O602" i="1"/>
  <c r="O603" i="1"/>
  <c r="O604" i="1"/>
  <c r="O605" i="1"/>
  <c r="O606" i="1"/>
  <c r="O607" i="1"/>
  <c r="O608" i="1"/>
  <c r="O609" i="1"/>
  <c r="O610" i="1"/>
  <c r="O611" i="1"/>
  <c r="O56" i="1"/>
  <c r="O32" i="1"/>
  <c r="O33" i="1"/>
  <c r="O34" i="1"/>
  <c r="O35" i="1"/>
  <c r="O36" i="1"/>
  <c r="O37" i="1"/>
  <c r="O38" i="1"/>
  <c r="O39" i="1"/>
  <c r="O40" i="1"/>
  <c r="O41" i="1"/>
  <c r="O42" i="1"/>
  <c r="O43" i="1"/>
  <c r="O44" i="1"/>
  <c r="O45" i="1"/>
  <c r="O46" i="1"/>
  <c r="O47" i="1"/>
  <c r="O48" i="1"/>
  <c r="O49" i="1"/>
  <c r="O50" i="1"/>
  <c r="O51" i="1"/>
  <c r="O52" i="1"/>
  <c r="O53" i="1"/>
  <c r="O54" i="1"/>
  <c r="O55" i="1"/>
  <c r="O57" i="1"/>
  <c r="O3" i="1"/>
  <c r="O4" i="1"/>
  <c r="O5" i="1"/>
  <c r="O6" i="1"/>
  <c r="O7" i="1"/>
  <c r="O8" i="1"/>
  <c r="O9" i="1"/>
  <c r="O10" i="1"/>
  <c r="O11" i="1"/>
  <c r="O12" i="1"/>
  <c r="O13" i="1"/>
  <c r="O14" i="1"/>
  <c r="O15" i="1"/>
  <c r="O16" i="1"/>
  <c r="O17" i="1"/>
  <c r="O18" i="1"/>
  <c r="O19" i="1"/>
  <c r="O20" i="1"/>
  <c r="O21" i="1"/>
  <c r="O22" i="1"/>
  <c r="O23" i="1"/>
  <c r="O24" i="1"/>
  <c r="O25" i="1"/>
  <c r="O26" i="1"/>
  <c r="O27" i="1"/>
  <c r="O28" i="1"/>
  <c r="O29" i="1"/>
  <c r="O30" i="1"/>
  <c r="O31" i="1"/>
  <c r="O2" i="1"/>
  <c r="D3" i="1"/>
  <c r="D4" i="1"/>
  <c r="D5" i="1"/>
  <c r="D6" i="1"/>
  <c r="D7" i="1"/>
  <c r="D8" i="1"/>
  <c r="D9" i="1"/>
  <c r="D10" i="1"/>
  <c r="D11" i="1"/>
  <c r="D12" i="1"/>
  <c r="D13" i="1"/>
  <c r="D14" i="1"/>
  <c r="D15" i="1"/>
  <c r="D16" i="1"/>
  <c r="D17" i="1"/>
  <c r="D18" i="1"/>
  <c r="D19" i="1"/>
  <c r="D20" i="1"/>
  <c r="D21" i="1"/>
  <c r="D22" i="1"/>
  <c r="D23" i="1"/>
  <c r="D24" i="1"/>
  <c r="D25" i="1"/>
  <c r="D26" i="1"/>
  <c r="D27" i="1"/>
  <c r="D28" i="1"/>
  <c r="D29" i="1"/>
  <c r="D30" i="1"/>
  <c r="D31" i="1"/>
  <c r="D32" i="1"/>
  <c r="D33" i="1"/>
  <c r="D34" i="1"/>
  <c r="D35" i="1"/>
  <c r="D36" i="1"/>
  <c r="D37" i="1"/>
  <c r="D38" i="1"/>
  <c r="D39" i="1"/>
  <c r="D40" i="1"/>
  <c r="D41" i="1"/>
  <c r="D42" i="1"/>
  <c r="D43" i="1"/>
  <c r="D44" i="1"/>
  <c r="D45" i="1"/>
  <c r="D46" i="1"/>
  <c r="D47" i="1"/>
  <c r="D48" i="1"/>
  <c r="D49" i="1"/>
  <c r="D50" i="1"/>
  <c r="D51" i="1"/>
  <c r="D52" i="1"/>
  <c r="D53" i="1"/>
  <c r="D54" i="1"/>
  <c r="D55" i="1"/>
  <c r="D56" i="1"/>
  <c r="D57" i="1"/>
  <c r="D58" i="1"/>
  <c r="D59" i="1"/>
  <c r="D60" i="1"/>
  <c r="D61" i="1"/>
  <c r="D62" i="1"/>
  <c r="D63" i="1"/>
  <c r="D64" i="1"/>
  <c r="D65" i="1"/>
  <c r="D66" i="1"/>
  <c r="D67" i="1"/>
  <c r="D68" i="1"/>
  <c r="D69" i="1"/>
  <c r="D70" i="1"/>
  <c r="D71" i="1"/>
  <c r="D72" i="1"/>
  <c r="D73" i="1"/>
  <c r="D74" i="1"/>
  <c r="D75" i="1"/>
  <c r="D76" i="1"/>
  <c r="D77" i="1"/>
  <c r="D78" i="1"/>
  <c r="D79" i="1"/>
  <c r="D80" i="1"/>
  <c r="D81" i="1"/>
  <c r="D82" i="1"/>
  <c r="D83" i="1"/>
  <c r="D84" i="1"/>
  <c r="D85" i="1"/>
  <c r="D86" i="1"/>
  <c r="D87" i="1"/>
  <c r="D88" i="1"/>
  <c r="D89" i="1"/>
  <c r="D90" i="1"/>
  <c r="D91" i="1"/>
  <c r="D92" i="1"/>
  <c r="D93" i="1"/>
  <c r="D94" i="1"/>
  <c r="D95" i="1"/>
  <c r="D96" i="1"/>
  <c r="D97" i="1"/>
  <c r="D98" i="1"/>
  <c r="D99" i="1"/>
  <c r="D100" i="1"/>
  <c r="D101" i="1"/>
  <c r="D102" i="1"/>
  <c r="D103" i="1"/>
  <c r="D104" i="1"/>
  <c r="D105" i="1"/>
  <c r="D106" i="1"/>
  <c r="D107" i="1"/>
  <c r="D108" i="1"/>
  <c r="D109" i="1"/>
  <c r="D110" i="1"/>
  <c r="D111" i="1"/>
  <c r="D112" i="1"/>
  <c r="D113" i="1"/>
  <c r="D114" i="1"/>
  <c r="D115" i="1"/>
  <c r="D116" i="1"/>
  <c r="D117" i="1"/>
  <c r="D118" i="1"/>
  <c r="D119" i="1"/>
  <c r="D120" i="1"/>
  <c r="D121" i="1"/>
  <c r="D122" i="1"/>
  <c r="D123" i="1"/>
  <c r="D124" i="1"/>
  <c r="D125" i="1"/>
  <c r="D126" i="1"/>
  <c r="D127" i="1"/>
  <c r="D128" i="1"/>
  <c r="D129" i="1"/>
  <c r="D130" i="1"/>
  <c r="D131" i="1"/>
  <c r="D132" i="1"/>
  <c r="D133" i="1"/>
  <c r="D134" i="1"/>
  <c r="D135" i="1"/>
  <c r="D136" i="1"/>
  <c r="D137" i="1"/>
  <c r="D138" i="1"/>
  <c r="D139" i="1"/>
  <c r="D140" i="1"/>
  <c r="D141" i="1"/>
  <c r="D142" i="1"/>
  <c r="D143" i="1"/>
  <c r="D144" i="1"/>
  <c r="D145" i="1"/>
  <c r="D146" i="1"/>
  <c r="D147" i="1"/>
  <c r="D148" i="1"/>
  <c r="D149" i="1"/>
  <c r="D150" i="1"/>
  <c r="D151" i="1"/>
  <c r="D152" i="1"/>
  <c r="D153" i="1"/>
  <c r="D154" i="1"/>
  <c r="D155" i="1"/>
  <c r="D156" i="1"/>
  <c r="D157" i="1"/>
  <c r="D158" i="1"/>
  <c r="D159" i="1"/>
  <c r="D160" i="1"/>
  <c r="D161" i="1"/>
  <c r="D162" i="1"/>
  <c r="D163" i="1"/>
  <c r="D164" i="1"/>
  <c r="D165" i="1"/>
  <c r="D166" i="1"/>
  <c r="D167" i="1"/>
  <c r="D168" i="1"/>
  <c r="D169" i="1"/>
  <c r="D170" i="1"/>
  <c r="D171" i="1"/>
  <c r="D172" i="1"/>
  <c r="D173" i="1"/>
  <c r="D174" i="1"/>
  <c r="D175" i="1"/>
  <c r="D176" i="1"/>
  <c r="D177" i="1"/>
  <c r="D178" i="1"/>
  <c r="D179" i="1"/>
  <c r="D180" i="1"/>
  <c r="D181" i="1"/>
  <c r="D182" i="1"/>
  <c r="D183" i="1"/>
  <c r="D184" i="1"/>
  <c r="D185" i="1"/>
  <c r="D186" i="1"/>
  <c r="D187" i="1"/>
  <c r="D188" i="1"/>
  <c r="D189" i="1"/>
  <c r="D190" i="1"/>
  <c r="D191" i="1"/>
  <c r="D192" i="1"/>
  <c r="D193" i="1"/>
  <c r="D194" i="1"/>
  <c r="D195" i="1"/>
  <c r="D196" i="1"/>
  <c r="D197" i="1"/>
  <c r="D198" i="1"/>
  <c r="D199" i="1"/>
  <c r="D200" i="1"/>
  <c r="D201" i="1"/>
  <c r="D202" i="1"/>
  <c r="D203" i="1"/>
  <c r="D204" i="1"/>
  <c r="D205" i="1"/>
  <c r="D206" i="1"/>
  <c r="D207" i="1"/>
  <c r="D208" i="1"/>
  <c r="D209" i="1"/>
  <c r="D210" i="1"/>
  <c r="D211" i="1"/>
  <c r="D212" i="1"/>
  <c r="D213" i="1"/>
  <c r="D214" i="1"/>
  <c r="D215" i="1"/>
  <c r="D216" i="1"/>
  <c r="D217" i="1"/>
  <c r="D218" i="1"/>
  <c r="D219" i="1"/>
  <c r="D220" i="1"/>
  <c r="D221" i="1"/>
  <c r="D222" i="1"/>
  <c r="D223" i="1"/>
  <c r="D224" i="1"/>
  <c r="D225" i="1"/>
  <c r="D226" i="1"/>
  <c r="D227" i="1"/>
  <c r="D228" i="1"/>
  <c r="D229" i="1"/>
  <c r="D230" i="1"/>
  <c r="D231" i="1"/>
  <c r="D232" i="1"/>
  <c r="D233" i="1"/>
  <c r="D234" i="1"/>
  <c r="D235" i="1"/>
  <c r="D236" i="1"/>
  <c r="D237" i="1"/>
  <c r="D238" i="1"/>
  <c r="D239" i="1"/>
  <c r="D240" i="1"/>
  <c r="D241" i="1"/>
  <c r="D242" i="1"/>
  <c r="D243" i="1"/>
  <c r="D244" i="1"/>
  <c r="D245" i="1"/>
  <c r="D246" i="1"/>
  <c r="D247" i="1"/>
  <c r="D248" i="1"/>
  <c r="D249" i="1"/>
  <c r="D250" i="1"/>
  <c r="D251" i="1"/>
  <c r="D252" i="1"/>
  <c r="D253" i="1"/>
  <c r="D254" i="1"/>
  <c r="D255" i="1"/>
  <c r="D256" i="1"/>
  <c r="D257" i="1"/>
  <c r="D258" i="1"/>
  <c r="D259" i="1"/>
  <c r="D260" i="1"/>
  <c r="D261" i="1"/>
  <c r="D262" i="1"/>
  <c r="D263" i="1"/>
  <c r="D264" i="1"/>
  <c r="D265" i="1"/>
  <c r="D266" i="1"/>
  <c r="D267" i="1"/>
  <c r="D268" i="1"/>
  <c r="D269" i="1"/>
  <c r="D270" i="1"/>
  <c r="D271" i="1"/>
  <c r="D272" i="1"/>
  <c r="D273" i="1"/>
  <c r="D274" i="1"/>
  <c r="D275" i="1"/>
  <c r="D276" i="1"/>
  <c r="D277" i="1"/>
  <c r="D278" i="1"/>
  <c r="D279" i="1"/>
  <c r="D280" i="1"/>
  <c r="D281" i="1"/>
  <c r="D282" i="1"/>
  <c r="D283" i="1"/>
  <c r="D284" i="1"/>
  <c r="D285" i="1"/>
  <c r="D286" i="1"/>
  <c r="D287" i="1"/>
  <c r="D288" i="1"/>
  <c r="D289" i="1"/>
  <c r="D290" i="1"/>
  <c r="D291" i="1"/>
  <c r="D292" i="1"/>
  <c r="D293" i="1"/>
  <c r="D294" i="1"/>
  <c r="D295" i="1"/>
  <c r="D296" i="1"/>
  <c r="D297" i="1"/>
  <c r="D298" i="1"/>
  <c r="D299" i="1"/>
  <c r="D300" i="1"/>
  <c r="D301" i="1"/>
  <c r="D302" i="1"/>
  <c r="D303" i="1"/>
  <c r="D304" i="1"/>
  <c r="D305" i="1"/>
  <c r="D306" i="1"/>
  <c r="D307" i="1"/>
  <c r="D308" i="1"/>
  <c r="D309" i="1"/>
  <c r="D310" i="1"/>
  <c r="D311" i="1"/>
  <c r="D312" i="1"/>
  <c r="D313" i="1"/>
  <c r="D314" i="1"/>
  <c r="D315" i="1"/>
  <c r="D316" i="1"/>
  <c r="D317" i="1"/>
  <c r="D318" i="1"/>
  <c r="D319" i="1"/>
  <c r="D320" i="1"/>
  <c r="D321" i="1"/>
  <c r="D322" i="1"/>
  <c r="D323" i="1"/>
  <c r="D324" i="1"/>
  <c r="D325" i="1"/>
  <c r="D326" i="1"/>
  <c r="D327" i="1"/>
  <c r="D328" i="1"/>
  <c r="D329" i="1"/>
  <c r="D330" i="1"/>
  <c r="D331" i="1"/>
  <c r="D332" i="1"/>
  <c r="D333" i="1"/>
  <c r="D334" i="1"/>
  <c r="D335" i="1"/>
  <c r="D336" i="1"/>
  <c r="D337" i="1"/>
  <c r="D338" i="1"/>
  <c r="D339" i="1"/>
  <c r="D340" i="1"/>
  <c r="D341" i="1"/>
  <c r="D342" i="1"/>
  <c r="D343" i="1"/>
  <c r="D344" i="1"/>
  <c r="D345" i="1"/>
  <c r="D346" i="1"/>
  <c r="D347" i="1"/>
  <c r="D348" i="1"/>
  <c r="D349" i="1"/>
  <c r="D350" i="1"/>
  <c r="D351" i="1"/>
  <c r="D352" i="1"/>
  <c r="D353" i="1"/>
  <c r="D354" i="1"/>
  <c r="D355" i="1"/>
  <c r="D356" i="1"/>
  <c r="D357" i="1"/>
  <c r="D358" i="1"/>
  <c r="D359" i="1"/>
  <c r="D360" i="1"/>
  <c r="D361" i="1"/>
  <c r="D362" i="1"/>
  <c r="D363" i="1"/>
  <c r="D364" i="1"/>
  <c r="D365" i="1"/>
  <c r="D366" i="1"/>
  <c r="D367" i="1"/>
  <c r="D368" i="1"/>
  <c r="D369" i="1"/>
  <c r="D370" i="1"/>
  <c r="D371" i="1"/>
  <c r="D372" i="1"/>
  <c r="D373" i="1"/>
  <c r="D374" i="1"/>
  <c r="D375" i="1"/>
  <c r="D376" i="1"/>
  <c r="D377" i="1"/>
  <c r="D378" i="1"/>
  <c r="D379" i="1"/>
  <c r="D380" i="1"/>
  <c r="D381" i="1"/>
  <c r="D382" i="1"/>
  <c r="D383" i="1"/>
  <c r="D384" i="1"/>
  <c r="D385" i="1"/>
  <c r="D386" i="1"/>
  <c r="D387" i="1"/>
  <c r="D388" i="1"/>
  <c r="D389" i="1"/>
  <c r="D390" i="1"/>
  <c r="D391" i="1"/>
  <c r="D392" i="1"/>
  <c r="D393" i="1"/>
  <c r="D394" i="1"/>
  <c r="D395" i="1"/>
  <c r="D396" i="1"/>
  <c r="D397" i="1"/>
  <c r="D398" i="1"/>
  <c r="D399" i="1"/>
  <c r="D400" i="1"/>
  <c r="D401" i="1"/>
  <c r="D402" i="1"/>
  <c r="D403" i="1"/>
  <c r="D404" i="1"/>
  <c r="D405" i="1"/>
  <c r="D406" i="1"/>
  <c r="D407" i="1"/>
  <c r="D408" i="1"/>
  <c r="D409" i="1"/>
  <c r="D410" i="1"/>
  <c r="D411" i="1"/>
  <c r="D412" i="1"/>
  <c r="D413" i="1"/>
  <c r="D414" i="1"/>
  <c r="D415" i="1"/>
  <c r="D416" i="1"/>
  <c r="D417" i="1"/>
  <c r="D418" i="1"/>
  <c r="D419" i="1"/>
  <c r="D420" i="1"/>
  <c r="D421" i="1"/>
  <c r="D422" i="1"/>
  <c r="D423" i="1"/>
  <c r="D424" i="1"/>
  <c r="D425" i="1"/>
  <c r="D426" i="1"/>
  <c r="D427" i="1"/>
  <c r="D428" i="1"/>
  <c r="D429" i="1"/>
  <c r="D430" i="1"/>
  <c r="D431" i="1"/>
  <c r="D432" i="1"/>
  <c r="D433" i="1"/>
  <c r="D434" i="1"/>
  <c r="D435" i="1"/>
  <c r="D436" i="1"/>
  <c r="D437" i="1"/>
  <c r="D438" i="1"/>
  <c r="D439" i="1"/>
  <c r="D440" i="1"/>
  <c r="D441" i="1"/>
  <c r="D442" i="1"/>
  <c r="D443" i="1"/>
  <c r="D444" i="1"/>
  <c r="D445" i="1"/>
  <c r="D446" i="1"/>
  <c r="D447" i="1"/>
  <c r="D448" i="1"/>
  <c r="D449" i="1"/>
  <c r="D450" i="1"/>
  <c r="D451" i="1"/>
  <c r="D452" i="1"/>
  <c r="D453" i="1"/>
  <c r="D454" i="1"/>
  <c r="D455" i="1"/>
  <c r="D456" i="1"/>
  <c r="D457" i="1"/>
  <c r="D458" i="1"/>
  <c r="D459" i="1"/>
  <c r="D460" i="1"/>
  <c r="D461" i="1"/>
  <c r="D462" i="1"/>
  <c r="D463" i="1"/>
  <c r="D464" i="1"/>
  <c r="D465" i="1"/>
  <c r="D466" i="1"/>
  <c r="D467" i="1"/>
  <c r="D468" i="1"/>
  <c r="D469" i="1"/>
  <c r="D470" i="1"/>
  <c r="D471" i="1"/>
  <c r="D472" i="1"/>
  <c r="D473" i="1"/>
  <c r="D474" i="1"/>
  <c r="D475" i="1"/>
  <c r="D476" i="1"/>
  <c r="D477" i="1"/>
  <c r="D478" i="1"/>
  <c r="D479" i="1"/>
  <c r="D480" i="1"/>
  <c r="D481" i="1"/>
  <c r="D482" i="1"/>
  <c r="D483" i="1"/>
  <c r="D484" i="1"/>
  <c r="D485" i="1"/>
  <c r="D486" i="1"/>
  <c r="D487" i="1"/>
  <c r="D488" i="1"/>
  <c r="D489" i="1"/>
  <c r="D490" i="1"/>
  <c r="D491" i="1"/>
  <c r="D492" i="1"/>
  <c r="D493" i="1"/>
  <c r="D494" i="1"/>
  <c r="D495" i="1"/>
  <c r="D496" i="1"/>
  <c r="D497" i="1"/>
  <c r="D498" i="1"/>
  <c r="D499" i="1"/>
  <c r="D500" i="1"/>
  <c r="D501" i="1"/>
  <c r="D502" i="1"/>
  <c r="D503" i="1"/>
  <c r="D504" i="1"/>
  <c r="D505" i="1"/>
  <c r="D506" i="1"/>
  <c r="D507" i="1"/>
  <c r="D508" i="1"/>
  <c r="D509" i="1"/>
  <c r="D510" i="1"/>
  <c r="D511" i="1"/>
  <c r="D512" i="1"/>
  <c r="D513" i="1"/>
  <c r="D514" i="1"/>
  <c r="D515" i="1"/>
  <c r="D516" i="1"/>
  <c r="D517" i="1"/>
  <c r="D518" i="1"/>
  <c r="D519" i="1"/>
  <c r="D520" i="1"/>
  <c r="D521" i="1"/>
  <c r="D522" i="1"/>
  <c r="D523" i="1"/>
  <c r="D524" i="1"/>
  <c r="D525" i="1"/>
  <c r="D526" i="1"/>
  <c r="D527" i="1"/>
  <c r="D528" i="1"/>
  <c r="D529" i="1"/>
  <c r="D530" i="1"/>
  <c r="D531" i="1"/>
  <c r="D532" i="1"/>
  <c r="D533" i="1"/>
  <c r="D534" i="1"/>
  <c r="D535" i="1"/>
  <c r="D536" i="1"/>
  <c r="D537" i="1"/>
  <c r="D538" i="1"/>
  <c r="D539" i="1"/>
  <c r="D540" i="1"/>
  <c r="D541" i="1"/>
  <c r="D542" i="1"/>
  <c r="D543" i="1"/>
  <c r="D544" i="1"/>
  <c r="D545" i="1"/>
  <c r="D546" i="1"/>
  <c r="D547" i="1"/>
  <c r="D548" i="1"/>
  <c r="D549" i="1"/>
  <c r="D550" i="1"/>
  <c r="D551" i="1"/>
  <c r="D552" i="1"/>
  <c r="D553" i="1"/>
  <c r="D554" i="1"/>
  <c r="D555" i="1"/>
  <c r="D556" i="1"/>
  <c r="D557" i="1"/>
  <c r="D558" i="1"/>
  <c r="D559" i="1"/>
  <c r="D560" i="1"/>
  <c r="D561" i="1"/>
  <c r="D562" i="1"/>
  <c r="D563" i="1"/>
  <c r="D564" i="1"/>
  <c r="D565" i="1"/>
  <c r="D566" i="1"/>
  <c r="D567" i="1"/>
  <c r="D568" i="1"/>
  <c r="D569" i="1"/>
  <c r="D570" i="1"/>
  <c r="D571" i="1"/>
  <c r="D572" i="1"/>
  <c r="D573" i="1"/>
  <c r="D574" i="1"/>
  <c r="D575" i="1"/>
  <c r="D576" i="1"/>
  <c r="D577" i="1"/>
  <c r="D578" i="1"/>
  <c r="D579" i="1"/>
  <c r="D580" i="1"/>
  <c r="D581" i="1"/>
  <c r="D582" i="1"/>
  <c r="D583" i="1"/>
  <c r="D584" i="1"/>
  <c r="D585" i="1"/>
  <c r="D586" i="1"/>
  <c r="D587" i="1"/>
  <c r="D588" i="1"/>
  <c r="D589" i="1"/>
  <c r="D590" i="1"/>
  <c r="D591" i="1"/>
  <c r="D592" i="1"/>
  <c r="D593" i="1"/>
  <c r="D594" i="1"/>
  <c r="D595" i="1"/>
  <c r="D596" i="1"/>
  <c r="D597" i="1"/>
  <c r="D598" i="1"/>
  <c r="D599" i="1"/>
  <c r="D600" i="1"/>
  <c r="D601" i="1"/>
  <c r="D602" i="1"/>
  <c r="D603" i="1"/>
  <c r="D604" i="1"/>
  <c r="D605" i="1"/>
  <c r="D606" i="1"/>
  <c r="D607" i="1"/>
  <c r="D608" i="1"/>
  <c r="D609" i="1"/>
  <c r="D610" i="1"/>
  <c r="D611" i="1"/>
  <c r="D2" i="1"/>
  <c r="G20" i="1"/>
  <c r="G21" i="1"/>
  <c r="G22" i="1"/>
  <c r="G23" i="1"/>
  <c r="G24" i="1"/>
  <c r="G25" i="1"/>
  <c r="G26" i="1"/>
  <c r="G27" i="1"/>
  <c r="G28" i="1"/>
  <c r="G29" i="1"/>
  <c r="G30" i="1"/>
  <c r="G31" i="1"/>
  <c r="G32" i="1"/>
  <c r="G33" i="1"/>
  <c r="G34" i="1"/>
  <c r="G35" i="1"/>
  <c r="G36" i="1"/>
  <c r="G37" i="1"/>
  <c r="G38" i="1"/>
  <c r="G39" i="1"/>
  <c r="G40" i="1"/>
  <c r="G41" i="1"/>
  <c r="G42" i="1"/>
  <c r="G43" i="1"/>
  <c r="G44" i="1"/>
  <c r="G45" i="1"/>
  <c r="G46" i="1"/>
  <c r="G47" i="1"/>
  <c r="G48" i="1"/>
  <c r="G49" i="1"/>
  <c r="G50" i="1"/>
  <c r="G51" i="1"/>
  <c r="G52" i="1"/>
  <c r="G53" i="1"/>
  <c r="G54" i="1"/>
  <c r="G55" i="1"/>
  <c r="G56" i="1"/>
  <c r="G57" i="1"/>
  <c r="G58" i="1"/>
  <c r="G59" i="1"/>
  <c r="G60" i="1"/>
  <c r="G61" i="1"/>
  <c r="G62" i="1"/>
  <c r="G63" i="1"/>
  <c r="G64" i="1"/>
  <c r="G65" i="1"/>
  <c r="G66" i="1"/>
  <c r="G67" i="1"/>
  <c r="G68" i="1"/>
  <c r="G69" i="1"/>
  <c r="G70" i="1"/>
  <c r="G71" i="1"/>
  <c r="G72" i="1"/>
  <c r="G73" i="1"/>
  <c r="G74" i="1"/>
  <c r="G75" i="1"/>
  <c r="G76" i="1"/>
  <c r="G77" i="1"/>
  <c r="G78" i="1"/>
  <c r="G79" i="1"/>
  <c r="G80" i="1"/>
  <c r="G81" i="1"/>
  <c r="G82" i="1"/>
  <c r="G83" i="1"/>
  <c r="G84" i="1"/>
  <c r="G85" i="1"/>
  <c r="G86" i="1"/>
  <c r="G87" i="1"/>
  <c r="G88" i="1"/>
  <c r="G89" i="1"/>
  <c r="G90" i="1"/>
  <c r="G91" i="1"/>
  <c r="G92" i="1"/>
  <c r="G93" i="1"/>
  <c r="G94" i="1"/>
  <c r="G95" i="1"/>
  <c r="G96" i="1"/>
  <c r="G97" i="1"/>
  <c r="G98" i="1"/>
  <c r="G99" i="1"/>
  <c r="G100" i="1"/>
  <c r="G101" i="1"/>
  <c r="G102" i="1"/>
  <c r="G103" i="1"/>
  <c r="G104" i="1"/>
  <c r="G105" i="1"/>
  <c r="G106" i="1"/>
  <c r="G107" i="1"/>
  <c r="G108" i="1"/>
  <c r="G109" i="1"/>
  <c r="G110" i="1"/>
  <c r="G111" i="1"/>
  <c r="G112" i="1"/>
  <c r="G113" i="1"/>
  <c r="G114" i="1"/>
  <c r="G115" i="1"/>
  <c r="G116" i="1"/>
  <c r="G117" i="1"/>
  <c r="G118" i="1"/>
  <c r="G119" i="1"/>
  <c r="G120" i="1"/>
  <c r="G121" i="1"/>
  <c r="G122" i="1"/>
  <c r="G123" i="1"/>
  <c r="G124" i="1"/>
  <c r="G125" i="1"/>
  <c r="G126" i="1"/>
  <c r="G127" i="1"/>
  <c r="G128" i="1"/>
  <c r="G129" i="1"/>
  <c r="G130" i="1"/>
  <c r="G131" i="1"/>
  <c r="G132" i="1"/>
  <c r="G133" i="1"/>
  <c r="G134" i="1"/>
  <c r="G135" i="1"/>
  <c r="G136" i="1"/>
  <c r="G137" i="1"/>
  <c r="G138" i="1"/>
  <c r="G139" i="1"/>
  <c r="G140" i="1"/>
  <c r="G141" i="1"/>
  <c r="G142" i="1"/>
  <c r="G143" i="1"/>
  <c r="G144" i="1"/>
  <c r="G145" i="1"/>
  <c r="G146" i="1"/>
  <c r="G147" i="1"/>
  <c r="G148" i="1"/>
  <c r="G149" i="1"/>
  <c r="G150" i="1"/>
  <c r="G151" i="1"/>
  <c r="G152" i="1"/>
  <c r="G153" i="1"/>
  <c r="G154" i="1"/>
  <c r="G155" i="1"/>
  <c r="G156" i="1"/>
  <c r="G157" i="1"/>
  <c r="G158" i="1"/>
  <c r="G159" i="1"/>
  <c r="G160" i="1"/>
  <c r="G161" i="1"/>
  <c r="G162" i="1"/>
  <c r="G163" i="1"/>
  <c r="G164" i="1"/>
  <c r="G165" i="1"/>
  <c r="G166" i="1"/>
  <c r="G167" i="1"/>
  <c r="G168" i="1"/>
  <c r="G169" i="1"/>
  <c r="G170" i="1"/>
  <c r="G171" i="1"/>
  <c r="G172" i="1"/>
  <c r="G173" i="1"/>
  <c r="G174" i="1"/>
  <c r="G175" i="1"/>
  <c r="G176" i="1"/>
  <c r="G177" i="1"/>
  <c r="G178" i="1"/>
  <c r="G179" i="1"/>
  <c r="G180" i="1"/>
  <c r="G181" i="1"/>
  <c r="G182" i="1"/>
  <c r="G183" i="1"/>
  <c r="G184" i="1"/>
  <c r="G185" i="1"/>
  <c r="G186" i="1"/>
  <c r="G187" i="1"/>
  <c r="G188" i="1"/>
  <c r="G189" i="1"/>
  <c r="G190" i="1"/>
  <c r="G191" i="1"/>
  <c r="G192" i="1"/>
  <c r="G193" i="1"/>
  <c r="G194" i="1"/>
  <c r="G195" i="1"/>
  <c r="G196" i="1"/>
  <c r="G197" i="1"/>
  <c r="G198" i="1"/>
  <c r="G199" i="1"/>
  <c r="G200" i="1"/>
  <c r="G201" i="1"/>
  <c r="G202" i="1"/>
  <c r="G203" i="1"/>
  <c r="G204" i="1"/>
  <c r="G205" i="1"/>
  <c r="G206" i="1"/>
  <c r="G207" i="1"/>
  <c r="G208" i="1"/>
  <c r="G209" i="1"/>
  <c r="G210" i="1"/>
  <c r="G211" i="1"/>
  <c r="G212" i="1"/>
  <c r="G213" i="1"/>
  <c r="G214" i="1"/>
  <c r="G215" i="1"/>
  <c r="G216" i="1"/>
  <c r="G217" i="1"/>
  <c r="G218" i="1"/>
  <c r="G219" i="1"/>
  <c r="G220" i="1"/>
  <c r="G221" i="1"/>
  <c r="G222" i="1"/>
  <c r="G223" i="1"/>
  <c r="G224" i="1"/>
  <c r="G225" i="1"/>
  <c r="G226" i="1"/>
  <c r="G227" i="1"/>
  <c r="G228" i="1"/>
  <c r="G229" i="1"/>
  <c r="G230" i="1"/>
  <c r="G231" i="1"/>
  <c r="G232" i="1"/>
  <c r="G233" i="1"/>
  <c r="G234" i="1"/>
  <c r="G235" i="1"/>
  <c r="G236" i="1"/>
  <c r="G237" i="1"/>
  <c r="G238" i="1"/>
  <c r="G239" i="1"/>
  <c r="G240" i="1"/>
  <c r="G241" i="1"/>
  <c r="G242" i="1"/>
  <c r="G243" i="1"/>
  <c r="G244" i="1"/>
  <c r="G245" i="1"/>
  <c r="G246" i="1"/>
  <c r="G247" i="1"/>
  <c r="G248" i="1"/>
  <c r="G249" i="1"/>
  <c r="G250" i="1"/>
  <c r="G251" i="1"/>
  <c r="G252" i="1"/>
  <c r="G253" i="1"/>
  <c r="G254" i="1"/>
  <c r="G255" i="1"/>
  <c r="G256" i="1"/>
  <c r="G257" i="1"/>
  <c r="G258" i="1"/>
  <c r="G259" i="1"/>
  <c r="G260" i="1"/>
  <c r="G261" i="1"/>
  <c r="G262" i="1"/>
  <c r="G263" i="1"/>
  <c r="G264" i="1"/>
  <c r="G265" i="1"/>
  <c r="G266" i="1"/>
  <c r="G267" i="1"/>
  <c r="G268" i="1"/>
  <c r="G269" i="1"/>
  <c r="G270" i="1"/>
  <c r="G271" i="1"/>
  <c r="G272" i="1"/>
  <c r="G273" i="1"/>
  <c r="G274" i="1"/>
  <c r="G275" i="1"/>
  <c r="G276" i="1"/>
  <c r="G277" i="1"/>
  <c r="G278" i="1"/>
  <c r="G279" i="1"/>
  <c r="G280" i="1"/>
  <c r="G281" i="1"/>
  <c r="G282" i="1"/>
  <c r="G283" i="1"/>
  <c r="G284" i="1"/>
  <c r="G285" i="1"/>
  <c r="G286" i="1"/>
  <c r="G287" i="1"/>
  <c r="G288" i="1"/>
  <c r="G289" i="1"/>
  <c r="G290" i="1"/>
  <c r="G291" i="1"/>
  <c r="G292" i="1"/>
  <c r="G293" i="1"/>
  <c r="G294" i="1"/>
  <c r="G295" i="1"/>
  <c r="G296" i="1"/>
  <c r="G297" i="1"/>
  <c r="G298" i="1"/>
  <c r="G299" i="1"/>
  <c r="G300" i="1"/>
  <c r="G301" i="1"/>
  <c r="G302" i="1"/>
  <c r="G303" i="1"/>
  <c r="G304" i="1"/>
  <c r="G305" i="1"/>
  <c r="G306" i="1"/>
  <c r="G307" i="1"/>
  <c r="G308" i="1"/>
  <c r="G309" i="1"/>
  <c r="G310" i="1"/>
  <c r="G311" i="1"/>
  <c r="G312" i="1"/>
  <c r="G313" i="1"/>
  <c r="G314" i="1"/>
  <c r="G315" i="1"/>
  <c r="G316" i="1"/>
  <c r="G317" i="1"/>
  <c r="G318" i="1"/>
  <c r="G319" i="1"/>
  <c r="G320" i="1"/>
  <c r="G321" i="1"/>
  <c r="G322" i="1"/>
  <c r="G323" i="1"/>
  <c r="G324" i="1"/>
  <c r="G325" i="1"/>
  <c r="G326" i="1"/>
  <c r="G327" i="1"/>
  <c r="G328" i="1"/>
  <c r="G329" i="1"/>
  <c r="G330" i="1"/>
  <c r="G331" i="1"/>
  <c r="G332" i="1"/>
  <c r="G333" i="1"/>
  <c r="G334" i="1"/>
  <c r="G335" i="1"/>
  <c r="G336" i="1"/>
  <c r="G337" i="1"/>
  <c r="G338" i="1"/>
  <c r="G339" i="1"/>
  <c r="G340" i="1"/>
  <c r="G341" i="1"/>
  <c r="G342" i="1"/>
  <c r="G343" i="1"/>
  <c r="G344" i="1"/>
  <c r="G345" i="1"/>
  <c r="G346" i="1"/>
  <c r="G347" i="1"/>
  <c r="G348" i="1"/>
  <c r="G349" i="1"/>
  <c r="G350" i="1"/>
  <c r="G351" i="1"/>
  <c r="G352" i="1"/>
  <c r="G353" i="1"/>
  <c r="G354" i="1"/>
  <c r="G355" i="1"/>
  <c r="G356" i="1"/>
  <c r="G357" i="1"/>
  <c r="G358" i="1"/>
  <c r="G359" i="1"/>
  <c r="G360" i="1"/>
  <c r="G361" i="1"/>
  <c r="G362" i="1"/>
  <c r="G363" i="1"/>
  <c r="G364" i="1"/>
  <c r="G365" i="1"/>
  <c r="G366" i="1"/>
  <c r="G367" i="1"/>
  <c r="G368" i="1"/>
  <c r="G369" i="1"/>
  <c r="G370" i="1"/>
  <c r="G371" i="1"/>
  <c r="G372" i="1"/>
  <c r="G373" i="1"/>
  <c r="G374" i="1"/>
  <c r="G375" i="1"/>
  <c r="G376" i="1"/>
  <c r="G377" i="1"/>
  <c r="G378" i="1"/>
  <c r="G379" i="1"/>
  <c r="G380" i="1"/>
  <c r="G381" i="1"/>
  <c r="G382" i="1"/>
  <c r="G383" i="1"/>
  <c r="G384" i="1"/>
  <c r="G385" i="1"/>
  <c r="G386" i="1"/>
  <c r="G387" i="1"/>
  <c r="G388" i="1"/>
  <c r="G389" i="1"/>
  <c r="G390" i="1"/>
  <c r="G391" i="1"/>
  <c r="G392" i="1"/>
  <c r="G393" i="1"/>
  <c r="G394" i="1"/>
  <c r="G395" i="1"/>
  <c r="G396" i="1"/>
  <c r="G397" i="1"/>
  <c r="G398" i="1"/>
  <c r="G399" i="1"/>
  <c r="G400" i="1"/>
  <c r="G401" i="1"/>
  <c r="G402" i="1"/>
  <c r="G403" i="1"/>
  <c r="G404" i="1"/>
  <c r="G405" i="1"/>
  <c r="G406" i="1"/>
  <c r="G407" i="1"/>
  <c r="G408" i="1"/>
  <c r="G409" i="1"/>
  <c r="G410" i="1"/>
  <c r="G411" i="1"/>
  <c r="G412" i="1"/>
  <c r="G413" i="1"/>
  <c r="G414" i="1"/>
  <c r="G415" i="1"/>
  <c r="G416" i="1"/>
  <c r="G417" i="1"/>
  <c r="G418" i="1"/>
  <c r="G419" i="1"/>
  <c r="G420" i="1"/>
  <c r="G421" i="1"/>
  <c r="G422" i="1"/>
  <c r="G423" i="1"/>
  <c r="G424" i="1"/>
  <c r="G425" i="1"/>
  <c r="G426" i="1"/>
  <c r="G427" i="1"/>
  <c r="G428" i="1"/>
  <c r="G429" i="1"/>
  <c r="G430" i="1"/>
  <c r="G431" i="1"/>
  <c r="G432" i="1"/>
  <c r="G433" i="1"/>
  <c r="G434" i="1"/>
  <c r="G435" i="1"/>
  <c r="G436" i="1"/>
  <c r="G437" i="1"/>
  <c r="G438" i="1"/>
  <c r="G439" i="1"/>
  <c r="G440" i="1"/>
  <c r="G441" i="1"/>
  <c r="G442" i="1"/>
  <c r="G443" i="1"/>
  <c r="G444" i="1"/>
  <c r="G445" i="1"/>
  <c r="G446" i="1"/>
  <c r="G447" i="1"/>
  <c r="G448" i="1"/>
  <c r="G449" i="1"/>
  <c r="G450" i="1"/>
  <c r="G451" i="1"/>
  <c r="G452" i="1"/>
  <c r="G453" i="1"/>
  <c r="G454" i="1"/>
  <c r="G455" i="1"/>
  <c r="G456" i="1"/>
  <c r="G457" i="1"/>
  <c r="G458" i="1"/>
  <c r="G459" i="1"/>
  <c r="G460" i="1"/>
  <c r="G461" i="1"/>
  <c r="G462" i="1"/>
  <c r="G463" i="1"/>
  <c r="G464" i="1"/>
  <c r="G465" i="1"/>
  <c r="G466" i="1"/>
  <c r="G467" i="1"/>
  <c r="G468" i="1"/>
  <c r="G469" i="1"/>
  <c r="G470" i="1"/>
  <c r="G471" i="1"/>
  <c r="G472" i="1"/>
  <c r="G473" i="1"/>
  <c r="G474" i="1"/>
  <c r="G475" i="1"/>
  <c r="G476" i="1"/>
  <c r="G477" i="1"/>
  <c r="G478" i="1"/>
  <c r="G479" i="1"/>
  <c r="G480" i="1"/>
  <c r="G481" i="1"/>
  <c r="G482" i="1"/>
  <c r="G483" i="1"/>
  <c r="G484" i="1"/>
  <c r="G485" i="1"/>
  <c r="G486" i="1"/>
  <c r="G487" i="1"/>
  <c r="G488" i="1"/>
  <c r="G489" i="1"/>
  <c r="G490" i="1"/>
  <c r="G491" i="1"/>
  <c r="G492" i="1"/>
  <c r="G493" i="1"/>
  <c r="G494" i="1"/>
  <c r="G495" i="1"/>
  <c r="G496" i="1"/>
  <c r="G497" i="1"/>
  <c r="G498" i="1"/>
  <c r="G499" i="1"/>
  <c r="G500" i="1"/>
  <c r="G501" i="1"/>
  <c r="G502" i="1"/>
  <c r="G503" i="1"/>
  <c r="G504" i="1"/>
  <c r="G505" i="1"/>
  <c r="G506" i="1"/>
  <c r="G507" i="1"/>
  <c r="G508" i="1"/>
  <c r="G509" i="1"/>
  <c r="G510" i="1"/>
  <c r="G511" i="1"/>
  <c r="G512" i="1"/>
  <c r="G513" i="1"/>
  <c r="G514" i="1"/>
  <c r="G515" i="1"/>
  <c r="G516" i="1"/>
  <c r="G517" i="1"/>
  <c r="G518" i="1"/>
  <c r="G519" i="1"/>
  <c r="G520" i="1"/>
  <c r="G521" i="1"/>
  <c r="G522" i="1"/>
  <c r="G523" i="1"/>
  <c r="G524" i="1"/>
  <c r="G525" i="1"/>
  <c r="G526" i="1"/>
  <c r="G527" i="1"/>
  <c r="G528" i="1"/>
  <c r="G529" i="1"/>
  <c r="G530" i="1"/>
  <c r="G531" i="1"/>
  <c r="G532" i="1"/>
  <c r="G533" i="1"/>
  <c r="G534" i="1"/>
  <c r="G535" i="1"/>
  <c r="G536" i="1"/>
  <c r="G537" i="1"/>
  <c r="G538" i="1"/>
  <c r="G539" i="1"/>
  <c r="G540" i="1"/>
  <c r="G541" i="1"/>
  <c r="G542" i="1"/>
  <c r="G543" i="1"/>
  <c r="G544" i="1"/>
  <c r="G545" i="1"/>
  <c r="G546" i="1"/>
  <c r="G547" i="1"/>
  <c r="G548" i="1"/>
  <c r="G549" i="1"/>
  <c r="G550" i="1"/>
  <c r="G551" i="1"/>
  <c r="G552" i="1"/>
  <c r="G553" i="1"/>
  <c r="G554" i="1"/>
  <c r="G555" i="1"/>
  <c r="G556" i="1"/>
  <c r="G557" i="1"/>
  <c r="G558" i="1"/>
  <c r="G559" i="1"/>
  <c r="G560" i="1"/>
  <c r="G561" i="1"/>
  <c r="G562" i="1"/>
  <c r="G563" i="1"/>
  <c r="G564" i="1"/>
  <c r="G565" i="1"/>
  <c r="G566" i="1"/>
  <c r="G567" i="1"/>
  <c r="G568" i="1"/>
  <c r="G569" i="1"/>
  <c r="G570" i="1"/>
  <c r="G571" i="1"/>
  <c r="G572" i="1"/>
  <c r="G573" i="1"/>
  <c r="G574" i="1"/>
  <c r="G575" i="1"/>
  <c r="G576" i="1"/>
  <c r="G577" i="1"/>
  <c r="G578" i="1"/>
  <c r="G579" i="1"/>
  <c r="G580" i="1"/>
  <c r="G581" i="1"/>
  <c r="G582" i="1"/>
  <c r="G583" i="1"/>
  <c r="G584" i="1"/>
  <c r="G585" i="1"/>
  <c r="G586" i="1"/>
  <c r="G587" i="1"/>
  <c r="G588" i="1"/>
  <c r="G589" i="1"/>
  <c r="G590" i="1"/>
  <c r="G591" i="1"/>
  <c r="G592" i="1"/>
  <c r="G593" i="1"/>
  <c r="G594" i="1"/>
  <c r="G595" i="1"/>
  <c r="G596" i="1"/>
  <c r="G597" i="1"/>
  <c r="G598" i="1"/>
  <c r="G599" i="1"/>
  <c r="G600" i="1"/>
  <c r="G601" i="1"/>
  <c r="G602" i="1"/>
  <c r="G603" i="1"/>
  <c r="G604" i="1"/>
  <c r="G605" i="1"/>
  <c r="G606" i="1"/>
  <c r="G607" i="1"/>
  <c r="G608" i="1"/>
  <c r="G609" i="1"/>
  <c r="G610" i="1"/>
  <c r="G611" i="1"/>
  <c r="G5" i="1"/>
  <c r="G6" i="1"/>
  <c r="G8" i="1"/>
  <c r="G9" i="1"/>
  <c r="G10" i="1"/>
  <c r="G11" i="1"/>
  <c r="G12" i="1"/>
  <c r="G13" i="1"/>
  <c r="G14" i="1"/>
  <c r="G15" i="1"/>
  <c r="G16" i="1"/>
  <c r="G17" i="1"/>
  <c r="G18" i="1"/>
  <c r="G19"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471" i="1"/>
  <c r="M472" i="1"/>
  <c r="M473" i="1"/>
  <c r="M474" i="1"/>
  <c r="M475" i="1"/>
  <c r="M476" i="1"/>
  <c r="M477" i="1"/>
  <c r="M478" i="1"/>
  <c r="M479" i="1"/>
  <c r="M480" i="1"/>
  <c r="M481" i="1"/>
  <c r="M482" i="1"/>
  <c r="M483" i="1"/>
  <c r="M484" i="1"/>
  <c r="M485" i="1"/>
  <c r="M486" i="1"/>
  <c r="M487" i="1"/>
  <c r="M488" i="1"/>
  <c r="M489" i="1"/>
  <c r="M490" i="1"/>
  <c r="M491" i="1"/>
  <c r="M492" i="1"/>
  <c r="M493" i="1"/>
  <c r="M494" i="1"/>
  <c r="M495" i="1"/>
  <c r="M496" i="1"/>
  <c r="M497" i="1"/>
  <c r="M498" i="1"/>
  <c r="M499" i="1"/>
  <c r="M500" i="1"/>
  <c r="M501" i="1"/>
  <c r="M502" i="1"/>
  <c r="M503" i="1"/>
  <c r="M504" i="1"/>
  <c r="M505" i="1"/>
  <c r="M506" i="1"/>
  <c r="M507" i="1"/>
  <c r="M508" i="1"/>
  <c r="M509" i="1"/>
  <c r="M510" i="1"/>
  <c r="M511" i="1"/>
  <c r="M512" i="1"/>
  <c r="M513" i="1"/>
  <c r="M514" i="1"/>
  <c r="M515" i="1"/>
  <c r="M516" i="1"/>
  <c r="M517" i="1"/>
  <c r="M518" i="1"/>
  <c r="M519" i="1"/>
  <c r="M520" i="1"/>
  <c r="M521" i="1"/>
  <c r="M522" i="1"/>
  <c r="M523" i="1"/>
  <c r="M524" i="1"/>
  <c r="M525" i="1"/>
  <c r="M526" i="1"/>
  <c r="M527" i="1"/>
  <c r="M528" i="1"/>
  <c r="M529" i="1"/>
  <c r="M530" i="1"/>
  <c r="M531" i="1"/>
  <c r="M532" i="1"/>
  <c r="M533" i="1"/>
  <c r="M534" i="1"/>
  <c r="M535" i="1"/>
  <c r="M536" i="1"/>
  <c r="M537" i="1"/>
  <c r="M538" i="1"/>
  <c r="M539" i="1"/>
  <c r="M540" i="1"/>
  <c r="M541" i="1"/>
  <c r="M542" i="1"/>
  <c r="M543" i="1"/>
  <c r="M544" i="1"/>
  <c r="M545" i="1"/>
  <c r="M546" i="1"/>
  <c r="M547" i="1"/>
  <c r="M548" i="1"/>
  <c r="M549" i="1"/>
  <c r="M550" i="1"/>
  <c r="M551" i="1"/>
  <c r="M552" i="1"/>
  <c r="M553" i="1"/>
  <c r="M554" i="1"/>
  <c r="M555" i="1"/>
  <c r="M556" i="1"/>
  <c r="M557" i="1"/>
  <c r="M558" i="1"/>
  <c r="M559" i="1"/>
  <c r="M560" i="1"/>
  <c r="M561" i="1"/>
  <c r="M562" i="1"/>
  <c r="M563" i="1"/>
  <c r="M564" i="1"/>
  <c r="M565" i="1"/>
  <c r="M566" i="1"/>
  <c r="M567" i="1"/>
  <c r="M568" i="1"/>
  <c r="M569" i="1"/>
  <c r="M570" i="1"/>
  <c r="M571" i="1"/>
  <c r="M572" i="1"/>
  <c r="M573" i="1"/>
  <c r="M574" i="1"/>
  <c r="M575" i="1"/>
  <c r="M576" i="1"/>
  <c r="M577" i="1"/>
  <c r="M578" i="1"/>
  <c r="M579" i="1"/>
  <c r="M580" i="1"/>
  <c r="M581" i="1"/>
  <c r="M582" i="1"/>
  <c r="M583" i="1"/>
  <c r="M584" i="1"/>
  <c r="M585" i="1"/>
  <c r="M586" i="1"/>
  <c r="M587" i="1"/>
  <c r="M588" i="1"/>
  <c r="M589" i="1"/>
  <c r="M590" i="1"/>
  <c r="M591" i="1"/>
  <c r="M592" i="1"/>
  <c r="M593" i="1"/>
  <c r="M594" i="1"/>
  <c r="M595" i="1"/>
  <c r="M596" i="1"/>
  <c r="M597" i="1"/>
  <c r="M598" i="1"/>
  <c r="M599" i="1"/>
  <c r="M600" i="1"/>
  <c r="M601" i="1"/>
  <c r="M602" i="1"/>
  <c r="M603" i="1"/>
  <c r="M604" i="1"/>
  <c r="M605" i="1"/>
  <c r="M606" i="1"/>
  <c r="M607" i="1"/>
  <c r="M608" i="1"/>
  <c r="M609" i="1"/>
  <c r="M610" i="1"/>
  <c r="M611" i="1"/>
  <c r="M3" i="1"/>
  <c r="M4" i="1"/>
  <c r="M5" i="1"/>
  <c r="M6" i="1"/>
  <c r="M7" i="1"/>
  <c r="M8" i="1"/>
  <c r="M9" i="1"/>
  <c r="M10" i="1"/>
  <c r="M11" i="1"/>
  <c r="M12" i="1"/>
  <c r="M13" i="1"/>
  <c r="M14" i="1"/>
  <c r="M15" i="1"/>
  <c r="M16" i="1"/>
  <c r="M17" i="1"/>
  <c r="M18" i="1"/>
  <c r="M19" i="1"/>
  <c r="M20" i="1"/>
  <c r="M21" i="1"/>
  <c r="M22" i="1"/>
  <c r="M23" i="1"/>
  <c r="M24" i="1"/>
  <c r="M25" i="1"/>
  <c r="M26" i="1"/>
  <c r="M2" i="1"/>
  <c r="I17" i="1"/>
  <c r="I18" i="1"/>
  <c r="I19" i="1"/>
  <c r="I20" i="1"/>
  <c r="I21" i="1"/>
  <c r="I22" i="1"/>
  <c r="I23" i="1"/>
  <c r="I24" i="1"/>
  <c r="I25" i="1"/>
  <c r="I26" i="1"/>
  <c r="I27" i="1"/>
  <c r="I28" i="1"/>
  <c r="I29" i="1"/>
  <c r="I30" i="1"/>
  <c r="I31" i="1"/>
  <c r="I32" i="1"/>
  <c r="I33" i="1"/>
  <c r="I34" i="1"/>
  <c r="I35" i="1"/>
  <c r="I36" i="1"/>
  <c r="I37" i="1"/>
  <c r="I38" i="1"/>
  <c r="I39" i="1"/>
  <c r="I40" i="1"/>
  <c r="I41" i="1"/>
  <c r="I42" i="1"/>
  <c r="I43" i="1"/>
  <c r="I44" i="1"/>
  <c r="I45" i="1"/>
  <c r="I46" i="1"/>
  <c r="I47" i="1"/>
  <c r="I48" i="1"/>
  <c r="I49" i="1"/>
  <c r="I50" i="1"/>
  <c r="I51" i="1"/>
  <c r="I52" i="1"/>
  <c r="I53" i="1"/>
  <c r="I54" i="1"/>
  <c r="I55" i="1"/>
  <c r="I56" i="1"/>
  <c r="I57" i="1"/>
  <c r="I58" i="1"/>
  <c r="I59" i="1"/>
  <c r="I60" i="1"/>
  <c r="I61" i="1"/>
  <c r="I62" i="1"/>
  <c r="I63" i="1"/>
  <c r="I64" i="1"/>
  <c r="I65" i="1"/>
  <c r="I66" i="1"/>
  <c r="I67" i="1"/>
  <c r="I68" i="1"/>
  <c r="I69" i="1"/>
  <c r="I70" i="1"/>
  <c r="I71" i="1"/>
  <c r="I72" i="1"/>
  <c r="I73" i="1"/>
  <c r="I74" i="1"/>
  <c r="I75" i="1"/>
  <c r="I76" i="1"/>
  <c r="I77" i="1"/>
  <c r="I78" i="1"/>
  <c r="I79" i="1"/>
  <c r="I80" i="1"/>
  <c r="I81" i="1"/>
  <c r="I82" i="1"/>
  <c r="I83" i="1"/>
  <c r="I84" i="1"/>
  <c r="I85" i="1"/>
  <c r="I86" i="1"/>
  <c r="I87" i="1"/>
  <c r="I88" i="1"/>
  <c r="I89" i="1"/>
  <c r="I90" i="1"/>
  <c r="I91" i="1"/>
  <c r="I92" i="1"/>
  <c r="I93" i="1"/>
  <c r="I94" i="1"/>
  <c r="I95" i="1"/>
  <c r="I96" i="1"/>
  <c r="I97" i="1"/>
  <c r="I98" i="1"/>
  <c r="I99" i="1"/>
  <c r="I100" i="1"/>
  <c r="I101" i="1"/>
  <c r="I102" i="1"/>
  <c r="I103" i="1"/>
  <c r="I104" i="1"/>
  <c r="I105" i="1"/>
  <c r="I106" i="1"/>
  <c r="I107" i="1"/>
  <c r="I108" i="1"/>
  <c r="I109" i="1"/>
  <c r="I110" i="1"/>
  <c r="I111" i="1"/>
  <c r="I112" i="1"/>
  <c r="I113" i="1"/>
  <c r="I114" i="1"/>
  <c r="I115" i="1"/>
  <c r="I116" i="1"/>
  <c r="I117" i="1"/>
  <c r="I118" i="1"/>
  <c r="I119" i="1"/>
  <c r="I120" i="1"/>
  <c r="I121" i="1"/>
  <c r="I122" i="1"/>
  <c r="I123" i="1"/>
  <c r="I124" i="1"/>
  <c r="I125" i="1"/>
  <c r="I126" i="1"/>
  <c r="I127" i="1"/>
  <c r="I128" i="1"/>
  <c r="I129" i="1"/>
  <c r="I130" i="1"/>
  <c r="I131" i="1"/>
  <c r="I132" i="1"/>
  <c r="I133" i="1"/>
  <c r="I134" i="1"/>
  <c r="I135" i="1"/>
  <c r="I136" i="1"/>
  <c r="I137" i="1"/>
  <c r="I138" i="1"/>
  <c r="I139" i="1"/>
  <c r="I140" i="1"/>
  <c r="I141" i="1"/>
  <c r="I142" i="1"/>
  <c r="I143" i="1"/>
  <c r="I144" i="1"/>
  <c r="I145" i="1"/>
  <c r="I146" i="1"/>
  <c r="I147" i="1"/>
  <c r="I148" i="1"/>
  <c r="I149" i="1"/>
  <c r="I150" i="1"/>
  <c r="I151" i="1"/>
  <c r="I152" i="1"/>
  <c r="I153" i="1"/>
  <c r="I154" i="1"/>
  <c r="I155" i="1"/>
  <c r="I156" i="1"/>
  <c r="I157" i="1"/>
  <c r="I158" i="1"/>
  <c r="I159" i="1"/>
  <c r="I160" i="1"/>
  <c r="I161" i="1"/>
  <c r="I162" i="1"/>
  <c r="I163" i="1"/>
  <c r="I164" i="1"/>
  <c r="I165" i="1"/>
  <c r="I166" i="1"/>
  <c r="I167" i="1"/>
  <c r="I168" i="1"/>
  <c r="I169" i="1"/>
  <c r="I170" i="1"/>
  <c r="I171" i="1"/>
  <c r="I172" i="1"/>
  <c r="I173" i="1"/>
  <c r="I174" i="1"/>
  <c r="I175" i="1"/>
  <c r="I176" i="1"/>
  <c r="I177" i="1"/>
  <c r="I178" i="1"/>
  <c r="I179" i="1"/>
  <c r="I180" i="1"/>
  <c r="I181" i="1"/>
  <c r="I182" i="1"/>
  <c r="I183" i="1"/>
  <c r="I184" i="1"/>
  <c r="I185" i="1"/>
  <c r="I186" i="1"/>
  <c r="I187" i="1"/>
  <c r="I188" i="1"/>
  <c r="I189" i="1"/>
  <c r="I190" i="1"/>
  <c r="I191" i="1"/>
  <c r="I192" i="1"/>
  <c r="I193" i="1"/>
  <c r="I194" i="1"/>
  <c r="I195" i="1"/>
  <c r="I196" i="1"/>
  <c r="I197" i="1"/>
  <c r="I198" i="1"/>
  <c r="I199" i="1"/>
  <c r="I200" i="1"/>
  <c r="I201" i="1"/>
  <c r="I202" i="1"/>
  <c r="I203" i="1"/>
  <c r="I204" i="1"/>
  <c r="I205" i="1"/>
  <c r="I206" i="1"/>
  <c r="I207" i="1"/>
  <c r="I208" i="1"/>
  <c r="I209" i="1"/>
  <c r="I210" i="1"/>
  <c r="I211" i="1"/>
  <c r="I212" i="1"/>
  <c r="I213" i="1"/>
  <c r="I214" i="1"/>
  <c r="I215" i="1"/>
  <c r="I216" i="1"/>
  <c r="I217" i="1"/>
  <c r="I218" i="1"/>
  <c r="I219" i="1"/>
  <c r="I220" i="1"/>
  <c r="I221" i="1"/>
  <c r="I222" i="1"/>
  <c r="I223" i="1"/>
  <c r="I224" i="1"/>
  <c r="I225" i="1"/>
  <c r="I226" i="1"/>
  <c r="I227" i="1"/>
  <c r="I228" i="1"/>
  <c r="I229" i="1"/>
  <c r="I230" i="1"/>
  <c r="I231" i="1"/>
  <c r="I232" i="1"/>
  <c r="I233" i="1"/>
  <c r="I234" i="1"/>
  <c r="I235" i="1"/>
  <c r="I236" i="1"/>
  <c r="I237" i="1"/>
  <c r="I238" i="1"/>
  <c r="I239" i="1"/>
  <c r="I240" i="1"/>
  <c r="I241" i="1"/>
  <c r="I242" i="1"/>
  <c r="I243" i="1"/>
  <c r="I244" i="1"/>
  <c r="I245" i="1"/>
  <c r="I246" i="1"/>
  <c r="I247" i="1"/>
  <c r="I248" i="1"/>
  <c r="I249" i="1"/>
  <c r="I250" i="1"/>
  <c r="I251" i="1"/>
  <c r="I252" i="1"/>
  <c r="I253" i="1"/>
  <c r="I254" i="1"/>
  <c r="I255" i="1"/>
  <c r="I256" i="1"/>
  <c r="I257" i="1"/>
  <c r="I258" i="1"/>
  <c r="I259" i="1"/>
  <c r="I260" i="1"/>
  <c r="I261" i="1"/>
  <c r="I262" i="1"/>
  <c r="I263" i="1"/>
  <c r="I264" i="1"/>
  <c r="I265" i="1"/>
  <c r="I266" i="1"/>
  <c r="I267" i="1"/>
  <c r="I268" i="1"/>
  <c r="I269" i="1"/>
  <c r="I270" i="1"/>
  <c r="I271" i="1"/>
  <c r="I272" i="1"/>
  <c r="I273" i="1"/>
  <c r="I274" i="1"/>
  <c r="I275" i="1"/>
  <c r="I276" i="1"/>
  <c r="I277" i="1"/>
  <c r="I278" i="1"/>
  <c r="I279" i="1"/>
  <c r="I280" i="1"/>
  <c r="I281" i="1"/>
  <c r="I282" i="1"/>
  <c r="I283" i="1"/>
  <c r="I284" i="1"/>
  <c r="I285" i="1"/>
  <c r="I286" i="1"/>
  <c r="I287" i="1"/>
  <c r="I288" i="1"/>
  <c r="I289" i="1"/>
  <c r="I290" i="1"/>
  <c r="I291" i="1"/>
  <c r="I292" i="1"/>
  <c r="I293" i="1"/>
  <c r="I294" i="1"/>
  <c r="I295" i="1"/>
  <c r="I296" i="1"/>
  <c r="I297" i="1"/>
  <c r="I298" i="1"/>
  <c r="I299" i="1"/>
  <c r="I300" i="1"/>
  <c r="I301" i="1"/>
  <c r="I302" i="1"/>
  <c r="I303" i="1"/>
  <c r="I304" i="1"/>
  <c r="I305" i="1"/>
  <c r="I306" i="1"/>
  <c r="I307" i="1"/>
  <c r="I308" i="1"/>
  <c r="I309" i="1"/>
  <c r="I310" i="1"/>
  <c r="I311" i="1"/>
  <c r="I312" i="1"/>
  <c r="I313" i="1"/>
  <c r="I314" i="1"/>
  <c r="I315" i="1"/>
  <c r="I316" i="1"/>
  <c r="I317" i="1"/>
  <c r="I318" i="1"/>
  <c r="I319" i="1"/>
  <c r="I320" i="1"/>
  <c r="I321" i="1"/>
  <c r="I322" i="1"/>
  <c r="I323" i="1"/>
  <c r="I324" i="1"/>
  <c r="I325" i="1"/>
  <c r="I326" i="1"/>
  <c r="I327" i="1"/>
  <c r="I328" i="1"/>
  <c r="I329" i="1"/>
  <c r="I330" i="1"/>
  <c r="I331" i="1"/>
  <c r="I332" i="1"/>
  <c r="I333" i="1"/>
  <c r="I334" i="1"/>
  <c r="I335" i="1"/>
  <c r="I336" i="1"/>
  <c r="I337" i="1"/>
  <c r="I338" i="1"/>
  <c r="I339" i="1"/>
  <c r="I340" i="1"/>
  <c r="I341" i="1"/>
  <c r="I342" i="1"/>
  <c r="I343" i="1"/>
  <c r="I344" i="1"/>
  <c r="I345" i="1"/>
  <c r="I346" i="1"/>
  <c r="I347" i="1"/>
  <c r="I348" i="1"/>
  <c r="I349" i="1"/>
  <c r="I350" i="1"/>
  <c r="I351" i="1"/>
  <c r="I352" i="1"/>
  <c r="I353" i="1"/>
  <c r="I354" i="1"/>
  <c r="I355" i="1"/>
  <c r="I356" i="1"/>
  <c r="I357" i="1"/>
  <c r="I358" i="1"/>
  <c r="I359" i="1"/>
  <c r="I360" i="1"/>
  <c r="I361" i="1"/>
  <c r="I362" i="1"/>
  <c r="I363" i="1"/>
  <c r="I364" i="1"/>
  <c r="I365" i="1"/>
  <c r="I366" i="1"/>
  <c r="I367" i="1"/>
  <c r="I368" i="1"/>
  <c r="I369" i="1"/>
  <c r="I370" i="1"/>
  <c r="I371" i="1"/>
  <c r="I372" i="1"/>
  <c r="I373" i="1"/>
  <c r="I374" i="1"/>
  <c r="I375" i="1"/>
  <c r="I376" i="1"/>
  <c r="I377" i="1"/>
  <c r="I378" i="1"/>
  <c r="I379" i="1"/>
  <c r="I380" i="1"/>
  <c r="I381" i="1"/>
  <c r="I382" i="1"/>
  <c r="I383" i="1"/>
  <c r="I384" i="1"/>
  <c r="I385" i="1"/>
  <c r="I386" i="1"/>
  <c r="I387" i="1"/>
  <c r="I388" i="1"/>
  <c r="I389" i="1"/>
  <c r="I390" i="1"/>
  <c r="I391" i="1"/>
  <c r="I392" i="1"/>
  <c r="I393" i="1"/>
  <c r="I394" i="1"/>
  <c r="I395" i="1"/>
  <c r="I396" i="1"/>
  <c r="I397" i="1"/>
  <c r="I398" i="1"/>
  <c r="I399" i="1"/>
  <c r="I400" i="1"/>
  <c r="I401" i="1"/>
  <c r="I402" i="1"/>
  <c r="I403" i="1"/>
  <c r="I404" i="1"/>
  <c r="I405" i="1"/>
  <c r="I406" i="1"/>
  <c r="I407" i="1"/>
  <c r="I408" i="1"/>
  <c r="I409" i="1"/>
  <c r="I410" i="1"/>
  <c r="I411" i="1"/>
  <c r="I412" i="1"/>
  <c r="I413" i="1"/>
  <c r="I414" i="1"/>
  <c r="I415" i="1"/>
  <c r="I416" i="1"/>
  <c r="I417" i="1"/>
  <c r="I418" i="1"/>
  <c r="I419" i="1"/>
  <c r="I420" i="1"/>
  <c r="I421" i="1"/>
  <c r="I422" i="1"/>
  <c r="I423" i="1"/>
  <c r="I424" i="1"/>
  <c r="I425" i="1"/>
  <c r="I426" i="1"/>
  <c r="I427" i="1"/>
  <c r="I428" i="1"/>
  <c r="I429" i="1"/>
  <c r="I430" i="1"/>
  <c r="I431" i="1"/>
  <c r="I432" i="1"/>
  <c r="I433" i="1"/>
  <c r="I434" i="1"/>
  <c r="I435" i="1"/>
  <c r="I436" i="1"/>
  <c r="I437" i="1"/>
  <c r="I438" i="1"/>
  <c r="I439" i="1"/>
  <c r="I440" i="1"/>
  <c r="I441" i="1"/>
  <c r="I442" i="1"/>
  <c r="I443" i="1"/>
  <c r="I444" i="1"/>
  <c r="I445" i="1"/>
  <c r="I446" i="1"/>
  <c r="I447" i="1"/>
  <c r="I448" i="1"/>
  <c r="I449" i="1"/>
  <c r="I450" i="1"/>
  <c r="I451" i="1"/>
  <c r="I452" i="1"/>
  <c r="I453" i="1"/>
  <c r="I454" i="1"/>
  <c r="I455" i="1"/>
  <c r="I456" i="1"/>
  <c r="I457" i="1"/>
  <c r="I458" i="1"/>
  <c r="I459" i="1"/>
  <c r="I460" i="1"/>
  <c r="I461" i="1"/>
  <c r="I462" i="1"/>
  <c r="I463" i="1"/>
  <c r="I464" i="1"/>
  <c r="I465" i="1"/>
  <c r="I466" i="1"/>
  <c r="I467" i="1"/>
  <c r="I468" i="1"/>
  <c r="I469" i="1"/>
  <c r="I470" i="1"/>
  <c r="I471" i="1"/>
  <c r="I472" i="1"/>
  <c r="I473" i="1"/>
  <c r="I474" i="1"/>
  <c r="I475" i="1"/>
  <c r="I476" i="1"/>
  <c r="I477" i="1"/>
  <c r="I478" i="1"/>
  <c r="I479" i="1"/>
  <c r="I480" i="1"/>
  <c r="I481" i="1"/>
  <c r="I482" i="1"/>
  <c r="I483" i="1"/>
  <c r="I484" i="1"/>
  <c r="I485" i="1"/>
  <c r="I486" i="1"/>
  <c r="I487" i="1"/>
  <c r="I488" i="1"/>
  <c r="I489" i="1"/>
  <c r="I490" i="1"/>
  <c r="I491" i="1"/>
  <c r="I492" i="1"/>
  <c r="I493" i="1"/>
  <c r="I494" i="1"/>
  <c r="I495" i="1"/>
  <c r="I496" i="1"/>
  <c r="I497" i="1"/>
  <c r="I498" i="1"/>
  <c r="I499" i="1"/>
  <c r="I500" i="1"/>
  <c r="I501" i="1"/>
  <c r="I502" i="1"/>
  <c r="I503" i="1"/>
  <c r="I504" i="1"/>
  <c r="I505" i="1"/>
  <c r="I506" i="1"/>
  <c r="I507" i="1"/>
  <c r="I508" i="1"/>
  <c r="I509" i="1"/>
  <c r="I510" i="1"/>
  <c r="I511" i="1"/>
  <c r="I512" i="1"/>
  <c r="I513" i="1"/>
  <c r="I514" i="1"/>
  <c r="I515" i="1"/>
  <c r="I516" i="1"/>
  <c r="I517" i="1"/>
  <c r="I518" i="1"/>
  <c r="I519" i="1"/>
  <c r="I520" i="1"/>
  <c r="I521" i="1"/>
  <c r="I522" i="1"/>
  <c r="I523" i="1"/>
  <c r="I524" i="1"/>
  <c r="I525" i="1"/>
  <c r="I526" i="1"/>
  <c r="I527" i="1"/>
  <c r="I528" i="1"/>
  <c r="I529" i="1"/>
  <c r="I530" i="1"/>
  <c r="I531" i="1"/>
  <c r="I532" i="1"/>
  <c r="I533" i="1"/>
  <c r="I534" i="1"/>
  <c r="I535" i="1"/>
  <c r="I536" i="1"/>
  <c r="I537" i="1"/>
  <c r="I538" i="1"/>
  <c r="I539" i="1"/>
  <c r="I540" i="1"/>
  <c r="I541" i="1"/>
  <c r="I542" i="1"/>
  <c r="I543" i="1"/>
  <c r="I544" i="1"/>
  <c r="I545" i="1"/>
  <c r="I546" i="1"/>
  <c r="I547" i="1"/>
  <c r="I548" i="1"/>
  <c r="I549" i="1"/>
  <c r="I550" i="1"/>
  <c r="I551" i="1"/>
  <c r="I552" i="1"/>
  <c r="I553" i="1"/>
  <c r="I554" i="1"/>
  <c r="I555" i="1"/>
  <c r="I556" i="1"/>
  <c r="I557" i="1"/>
  <c r="I558" i="1"/>
  <c r="I559" i="1"/>
  <c r="I560" i="1"/>
  <c r="I561" i="1"/>
  <c r="I562" i="1"/>
  <c r="I563" i="1"/>
  <c r="I564" i="1"/>
  <c r="I565" i="1"/>
  <c r="I566" i="1"/>
  <c r="I567" i="1"/>
  <c r="I568" i="1"/>
  <c r="I569" i="1"/>
  <c r="I570" i="1"/>
  <c r="I571" i="1"/>
  <c r="I572" i="1"/>
  <c r="I573" i="1"/>
  <c r="I574" i="1"/>
  <c r="I575" i="1"/>
  <c r="I576" i="1"/>
  <c r="I577" i="1"/>
  <c r="I578" i="1"/>
  <c r="I579" i="1"/>
  <c r="I580" i="1"/>
  <c r="I581" i="1"/>
  <c r="I582" i="1"/>
  <c r="I583" i="1"/>
  <c r="I584" i="1"/>
  <c r="I585" i="1"/>
  <c r="I586" i="1"/>
  <c r="I587" i="1"/>
  <c r="I588" i="1"/>
  <c r="I589" i="1"/>
  <c r="I590" i="1"/>
  <c r="I591" i="1"/>
  <c r="I592" i="1"/>
  <c r="I593" i="1"/>
  <c r="I594" i="1"/>
  <c r="I595" i="1"/>
  <c r="I596" i="1"/>
  <c r="I597" i="1"/>
  <c r="I598" i="1"/>
  <c r="I599" i="1"/>
  <c r="I600" i="1"/>
  <c r="I601" i="1"/>
  <c r="I602" i="1"/>
  <c r="I603" i="1"/>
  <c r="I604" i="1"/>
  <c r="I605" i="1"/>
  <c r="I606" i="1"/>
  <c r="I607" i="1"/>
  <c r="I608" i="1"/>
  <c r="I609" i="1"/>
  <c r="I610" i="1"/>
  <c r="I611" i="1"/>
  <c r="I3" i="1"/>
  <c r="I4" i="1"/>
  <c r="I5" i="1"/>
  <c r="I6" i="1"/>
  <c r="I7" i="1"/>
  <c r="I8" i="1"/>
  <c r="I9" i="1"/>
  <c r="I10" i="1"/>
  <c r="I11" i="1"/>
  <c r="I12" i="1"/>
  <c r="I13" i="1"/>
  <c r="I14" i="1"/>
  <c r="I15" i="1"/>
  <c r="I16" i="1"/>
  <c r="I2"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1B3E046-6EFF-4E37-85A6-1A6138665CAC}" name="Query - Final report" description="Connection to the 'Final report' query in the workbook." type="100" refreshedVersion="8" minRefreshableVersion="5">
    <extLst>
      <ext xmlns:x15="http://schemas.microsoft.com/office/spreadsheetml/2010/11/main" uri="{DE250136-89BD-433C-8126-D09CA5730AF9}">
        <x15:connection id="86720f6c-4343-44ca-9583-c890f2f5df45"/>
      </ext>
    </extLst>
  </connection>
  <connection id="2" xr16:uid="{E390E7FC-1809-492D-8E05-8DEA8C42D267}" name="Query - Project 2" description="Connection to the 'Project 2' query in the workbook." type="100" refreshedVersion="8" minRefreshableVersion="5">
    <extLst>
      <ext xmlns:x15="http://schemas.microsoft.com/office/spreadsheetml/2010/11/main" uri="{DE250136-89BD-433C-8126-D09CA5730AF9}">
        <x15:connection id="24449901-adef-4aae-aff4-f636780d1c97"/>
      </ext>
    </extLst>
  </connection>
  <connection id="3" xr16:uid="{3457EAE1-AE4B-417E-8885-368BAFDA46F7}" name="Query - Sheet 2" description="Connection to the 'Sheet 2' query in the workbook." type="100" refreshedVersion="8" minRefreshableVersion="5">
    <extLst>
      <ext xmlns:x15="http://schemas.microsoft.com/office/spreadsheetml/2010/11/main" uri="{DE250136-89BD-433C-8126-D09CA5730AF9}">
        <x15:connection id="ecd824c0-e476-4b49-93ae-bec4371add09"/>
      </ext>
    </extLst>
  </connection>
  <connection id="4" xr16:uid="{729109E6-7B07-4032-B993-17A696BFE603}" name="Query - Sheet 3" description="Connection to the 'Sheet 3' query in the workbook." type="100" refreshedVersion="8" minRefreshableVersion="5">
    <extLst>
      <ext xmlns:x15="http://schemas.microsoft.com/office/spreadsheetml/2010/11/main" uri="{DE250136-89BD-433C-8126-D09CA5730AF9}">
        <x15:connection id="65d4b20c-20b3-479c-a650-6b72f0e80325"/>
      </ext>
    </extLst>
  </connection>
  <connection id="5" xr16:uid="{BCD38432-2831-4253-8BFA-1287D6B00E8E}" name="Query - Sheet 4" description="Connection to the 'Sheet 4' query in the workbook." type="100" refreshedVersion="8" minRefreshableVersion="5">
    <extLst>
      <ext xmlns:x15="http://schemas.microsoft.com/office/spreadsheetml/2010/11/main" uri="{DE250136-89BD-433C-8126-D09CA5730AF9}">
        <x15:connection id="ec7147c0-c1ce-40b7-8a96-02b94e86b544"/>
      </ext>
    </extLst>
  </connection>
  <connection id="6" xr16:uid="{6EFFCB88-52C8-478A-AA6B-E33B91AFA2E9}" name="Query - Sheet5" description="Connection to the 'Sheet5' query in the workbook." type="100" refreshedVersion="8" minRefreshableVersion="5">
    <extLst>
      <ext xmlns:x15="http://schemas.microsoft.com/office/spreadsheetml/2010/11/main" uri="{DE250136-89BD-433C-8126-D09CA5730AF9}">
        <x15:connection id="272723ae-2886-45cc-815b-d3caf507cbcc"/>
      </ext>
    </extLst>
  </connection>
  <connection id="7" xr16:uid="{52161D04-C4E1-4B13-8E27-418FEBAC1605}" name="Query - Sheet6" description="Connection to the 'Sheet6' query in the workbook." type="100" refreshedVersion="8" minRefreshableVersion="5">
    <extLst>
      <ext xmlns:x15="http://schemas.microsoft.com/office/spreadsheetml/2010/11/main" uri="{DE250136-89BD-433C-8126-D09CA5730AF9}">
        <x15:connection id="11e29264-5b1e-4058-9d7f-af4389db746e"/>
      </ext>
    </extLst>
  </connection>
  <connection id="8" xr16:uid="{CF8D1EFA-2CB0-45A0-B52A-7F5F061B3C72}"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<sst xmlns="http://schemas.openxmlformats.org/spreadsheetml/2006/main" count="50" uniqueCount="37">
  <si>
    <t>Instant</t>
  </si>
  <si>
    <t>Date Day</t>
  </si>
  <si>
    <t>Season</t>
  </si>
  <si>
    <t>Year</t>
  </si>
  <si>
    <t>Month</t>
  </si>
  <si>
    <t>Hour</t>
  </si>
  <si>
    <t>Holiday</t>
  </si>
  <si>
    <t>Weekday</t>
  </si>
  <si>
    <t>Temprature</t>
  </si>
  <si>
    <t>Row Labels</t>
  </si>
  <si>
    <t>Sum of Temprature</t>
  </si>
  <si>
    <t>Sum of Hour</t>
  </si>
  <si>
    <t>Shifts</t>
  </si>
  <si>
    <t>W/H days</t>
  </si>
  <si>
    <t>Name of days</t>
  </si>
  <si>
    <t>Weather sit</t>
  </si>
  <si>
    <t>Weat.Situ.</t>
  </si>
  <si>
    <t>Sum of Weat.Situ.</t>
  </si>
  <si>
    <t>Saturday</t>
  </si>
  <si>
    <t>Sunday</t>
  </si>
  <si>
    <t>Monday</t>
  </si>
  <si>
    <t>Tuesday</t>
  </si>
  <si>
    <t>Wednesday</t>
  </si>
  <si>
    <t>Thursday</t>
  </si>
  <si>
    <t>Friday</t>
  </si>
  <si>
    <t>Weather Data Analysys Report</t>
  </si>
  <si>
    <t>Dark Cloudy</t>
  </si>
  <si>
    <t>Mild Cloudy</t>
  </si>
  <si>
    <t>Nice weather</t>
  </si>
  <si>
    <t>Thunderstrome</t>
  </si>
  <si>
    <t>Tem in inte.</t>
  </si>
  <si>
    <t>Grand Total</t>
  </si>
  <si>
    <t>Night</t>
  </si>
  <si>
    <t>Morning</t>
  </si>
  <si>
    <t>Afternoon</t>
  </si>
  <si>
    <t>Evening</t>
  </si>
  <si>
    <t>Sum of Tem in inte.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</si>
</sst>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yy"/>
  </numFmts>
  <fonts count="5" x14ac:knownFonts="1">
    <font>
      <sz val="10"/>
      <color rgb="FF000000"/>
      <name val="Arial"/>
      <scheme val="minor"/>
    </font>
    <font>
      <sz val="10"/>
      <color theme="1"/>
      <name val="Arial"/>
      <family val="2"/>
      <scheme val="minor"/>
    </font>
    <font>
      <b/>
      <sz val="11"/>
      <color theme="1"/>
      <name val="Arial"/>
      <family val="2"/>
      <scheme val="minor"/>
    </font>
    <font>
      <b/>
      <sz val="11"/>
      <color rgb="FF000000"/>
      <name val="Arial"/>
      <family val="2"/>
      <scheme val="minor"/>
    </font>
    <font>
      <sz val="20"/>
      <color rgb="FF000000"/>
      <name val="Arial"/>
      <family val="2"/>
      <scheme val="minor"/>
    </font>
  </fonts>
  <fills count="4">
    <fill>
      <patternFill patternType="none"/>
    </fill>
    <fill>
      <patternFill patternType="gray125"/>
    </fill>
    <fill>
      <patternFill patternType="solid">
        <fgColor theme="6"/>
        <bgColor indexed="64"/>
      </patternFill>
    </fill>
    <fill>
      <patternFill patternType="solid">
        <fgColor theme="8" tint="0.39997558519241921"/>
        <bgColor indexed="64"/>
      </patternFill>
    </fill>
  </fills>
  <borders count="1">
    <border>
      <left/>
      <right/>
      <top/>
      <bottom/>
      <diagonal/>
    </border>
  </borders>
  <cellStyleXfs count="1">
    <xf numFmtId="0" fontId="0" fillId="0" borderId="0"/>
  </cellStyleXfs>
  <cellXfs count="10">
    <xf numFmtId="0" fontId="0" fillId="0" borderId="0" xfId="0"/>
    <xf numFmtId="0" fontId="3" fillId="0" borderId="0" xfId="0" applyFont="1"/>
    <xf numFmtId="0" fontId="2" fillId="0" borderId="0" xfId="0" applyFont="1" applyAlignment="1">
      <alignment horizontal="center"/>
    </xf>
    <xf numFmtId="0" fontId="1" fillId="0" borderId="0" xfId="0" applyFont="1" applyAlignment="1">
      <alignment horizontal="center"/>
    </xf>
    <xf numFmtId="164" fontId="1" fillId="0" borderId="0" xfId="0" applyNumberFormat="1" applyFont="1" applyAlignment="1">
      <alignment horizontal="center"/>
    </xf>
    <xf numFmtId="0" fontId="0" fillId="0" borderId="0" xfId="0" pivotButton="1"/>
    <xf numFmtId="0" fontId="0" fillId="0" borderId="0" xfId="0" applyAlignment="1">
      <alignment horizontal="left"/>
    </xf>
    <xf numFmtId="0" fontId="0" fillId="3" borderId="0" xfId="0" applyFill="1"/>
    <xf numFmtId="0" fontId="0" fillId="0" borderId="0" xfId="0" applyAlignment="1">
      <alignment horizontal="center"/>
    </xf>
    <xf numFmtId="0" fontId="4" fillId="2" borderId="0" xfId="0" applyFont="1" applyFill="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2.xml"/><Relationship Id="rId13" Type="http://schemas.openxmlformats.org/officeDocument/2006/relationships/theme" Target="theme/theme1.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microsoft.com/office/2007/relationships/slicerCache" Target="slicerCaches/slicerCache4.xml"/><Relationship Id="rId17" Type="http://schemas.openxmlformats.org/officeDocument/2006/relationships/powerPivotData" Target="model/item.data"/><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tyles" Target="styles.xml"/><Relationship Id="rId10" Type="http://schemas.microsoft.com/office/2007/relationships/slicerCache" Target="slicerCaches/slicerCache2.xml"/><Relationship Id="rId19" Type="http://schemas.openxmlformats.org/officeDocument/2006/relationships/customXml" Target="../customXml/item1.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1.xlsx]Sheet 1!PivotTable3</c:name>
    <c:fmtId val="0"/>
  </c:pivotSource>
  <c:chart>
    <c:title>
      <c:tx>
        <c:rich>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r>
              <a:rPr lang="en-IN"/>
              <a:t>Weather</a:t>
            </a:r>
            <a:r>
              <a:rPr lang="en-IN" baseline="0"/>
              <a:t> VS Temprature</a:t>
            </a:r>
            <a:endParaRPr lang="en-IN"/>
          </a:p>
        </c:rich>
      </c:tx>
      <c:overlay val="0"/>
      <c:spPr>
        <a:noFill/>
        <a:ln>
          <a:noFill/>
        </a:ln>
        <a:effectLst/>
      </c:spPr>
      <c:txPr>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pPr>
            <a:solidFill>
              <a:schemeClr val="accent1"/>
            </a:solidFill>
            <a:ln>
              <a:no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38100"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 1'!$B$3</c:f>
              <c:strCache>
                <c:ptCount val="1"/>
                <c:pt idx="0">
                  <c:v>Sum of Temprature</c:v>
                </c:pt>
              </c:strCache>
            </c:strRef>
          </c:tx>
          <c:spPr>
            <a:solidFill>
              <a:schemeClr val="accent1"/>
            </a:solidFill>
            <a:ln>
              <a:noFill/>
            </a:ln>
            <a:effectLst/>
          </c:spPr>
          <c:invertIfNegative val="0"/>
          <c:cat>
            <c:strRef>
              <c:f>'Sheet 1'!$A$4:$A$10</c:f>
              <c:strCache>
                <c:ptCount val="7"/>
                <c:pt idx="0">
                  <c:v>Sunday</c:v>
                </c:pt>
                <c:pt idx="1">
                  <c:v>Monday</c:v>
                </c:pt>
                <c:pt idx="2">
                  <c:v>Tuesday</c:v>
                </c:pt>
                <c:pt idx="3">
                  <c:v>Wednesday</c:v>
                </c:pt>
                <c:pt idx="4">
                  <c:v>Thursday</c:v>
                </c:pt>
                <c:pt idx="5">
                  <c:v>Friday</c:v>
                </c:pt>
                <c:pt idx="6">
                  <c:v>Saturday</c:v>
                </c:pt>
              </c:strCache>
            </c:strRef>
          </c:cat>
          <c:val>
            <c:numRef>
              <c:f>'Sheet 1'!$B$4:$B$10</c:f>
              <c:numCache>
                <c:formatCode>General</c:formatCode>
                <c:ptCount val="7"/>
                <c:pt idx="0">
                  <c:v>14.399999999999995</c:v>
                </c:pt>
                <c:pt idx="1">
                  <c:v>16.060000000000009</c:v>
                </c:pt>
                <c:pt idx="2">
                  <c:v>19.219999999999992</c:v>
                </c:pt>
                <c:pt idx="3">
                  <c:v>16.5</c:v>
                </c:pt>
                <c:pt idx="4">
                  <c:v>15.279999999999992</c:v>
                </c:pt>
                <c:pt idx="5">
                  <c:v>19.179999999999986</c:v>
                </c:pt>
                <c:pt idx="6">
                  <c:v>19.459999999999997</c:v>
                </c:pt>
              </c:numCache>
            </c:numRef>
          </c:val>
          <c:extLst>
            <c:ext xmlns:c16="http://schemas.microsoft.com/office/drawing/2014/chart" uri="{C3380CC4-5D6E-409C-BE32-E72D297353CC}">
              <c16:uniqueId val="{00000000-5342-4067-94AC-FAE9576DDFEE}"/>
            </c:ext>
          </c:extLst>
        </c:ser>
        <c:dLbls>
          <c:showLegendKey val="0"/>
          <c:showVal val="0"/>
          <c:showCatName val="0"/>
          <c:showSerName val="0"/>
          <c:showPercent val="0"/>
          <c:showBubbleSize val="0"/>
        </c:dLbls>
        <c:gapWidth val="269"/>
        <c:axId val="1947099471"/>
        <c:axId val="1955029135"/>
      </c:barChart>
      <c:lineChart>
        <c:grouping val="standard"/>
        <c:varyColors val="0"/>
        <c:ser>
          <c:idx val="1"/>
          <c:order val="1"/>
          <c:tx>
            <c:strRef>
              <c:f>'Sheet 1'!$C$3</c:f>
              <c:strCache>
                <c:ptCount val="1"/>
                <c:pt idx="0">
                  <c:v>Sum of Weat.Situ.</c:v>
                </c:pt>
              </c:strCache>
            </c:strRef>
          </c:tx>
          <c:spPr>
            <a:ln w="38100" cap="rnd">
              <a:solidFill>
                <a:schemeClr val="accent2"/>
              </a:solidFill>
              <a:round/>
            </a:ln>
            <a:effectLst/>
          </c:spPr>
          <c:marker>
            <c:symbol val="none"/>
          </c:marker>
          <c:cat>
            <c:strRef>
              <c:f>'Sheet 1'!$A$4:$A$10</c:f>
              <c:strCache>
                <c:ptCount val="7"/>
                <c:pt idx="0">
                  <c:v>Sunday</c:v>
                </c:pt>
                <c:pt idx="1">
                  <c:v>Monday</c:v>
                </c:pt>
                <c:pt idx="2">
                  <c:v>Tuesday</c:v>
                </c:pt>
                <c:pt idx="3">
                  <c:v>Wednesday</c:v>
                </c:pt>
                <c:pt idx="4">
                  <c:v>Thursday</c:v>
                </c:pt>
                <c:pt idx="5">
                  <c:v>Friday</c:v>
                </c:pt>
                <c:pt idx="6">
                  <c:v>Saturday</c:v>
                </c:pt>
              </c:strCache>
            </c:strRef>
          </c:cat>
          <c:val>
            <c:numRef>
              <c:f>'Sheet 1'!$C$4:$C$10</c:f>
              <c:numCache>
                <c:formatCode>General</c:formatCode>
                <c:ptCount val="7"/>
                <c:pt idx="0">
                  <c:v>134</c:v>
                </c:pt>
                <c:pt idx="1">
                  <c:v>133</c:v>
                </c:pt>
                <c:pt idx="2">
                  <c:v>132</c:v>
                </c:pt>
                <c:pt idx="3">
                  <c:v>102</c:v>
                </c:pt>
                <c:pt idx="4">
                  <c:v>131</c:v>
                </c:pt>
                <c:pt idx="5">
                  <c:v>146</c:v>
                </c:pt>
                <c:pt idx="6">
                  <c:v>123</c:v>
                </c:pt>
              </c:numCache>
            </c:numRef>
          </c:val>
          <c:smooth val="0"/>
          <c:extLst>
            <c:ext xmlns:c16="http://schemas.microsoft.com/office/drawing/2014/chart" uri="{C3380CC4-5D6E-409C-BE32-E72D297353CC}">
              <c16:uniqueId val="{00000007-5342-4067-94AC-FAE9576DDFEE}"/>
            </c:ext>
          </c:extLst>
        </c:ser>
        <c:dLbls>
          <c:showLegendKey val="0"/>
          <c:showVal val="0"/>
          <c:showCatName val="0"/>
          <c:showSerName val="0"/>
          <c:showPercent val="0"/>
          <c:showBubbleSize val="0"/>
        </c:dLbls>
        <c:marker val="1"/>
        <c:smooth val="0"/>
        <c:axId val="1947092511"/>
        <c:axId val="1650091983"/>
      </c:lineChart>
      <c:valAx>
        <c:axId val="165009198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7092511"/>
        <c:crosses val="autoZero"/>
        <c:crossBetween val="between"/>
      </c:valAx>
      <c:catAx>
        <c:axId val="1947092511"/>
        <c:scaling>
          <c:orientation val="minMax"/>
        </c:scaling>
        <c:delete val="1"/>
        <c:axPos val="b"/>
        <c:numFmt formatCode="General" sourceLinked="1"/>
        <c:majorTickMark val="out"/>
        <c:minorTickMark val="none"/>
        <c:tickLblPos val="nextTo"/>
        <c:crossAx val="1650091983"/>
        <c:crosses val="autoZero"/>
        <c:auto val="1"/>
        <c:lblAlgn val="ctr"/>
        <c:lblOffset val="100"/>
        <c:noMultiLvlLbl val="0"/>
      </c:catAx>
      <c:valAx>
        <c:axId val="1955029135"/>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7099471"/>
        <c:crosses val="max"/>
        <c:crossBetween val="between"/>
      </c:valAx>
      <c:catAx>
        <c:axId val="1947099471"/>
        <c:scaling>
          <c:orientation val="minMax"/>
        </c:scaling>
        <c:delete val="1"/>
        <c:axPos val="b"/>
        <c:numFmt formatCode="General" sourceLinked="1"/>
        <c:majorTickMark val="out"/>
        <c:minorTickMark val="none"/>
        <c:tickLblPos val="nextTo"/>
        <c:crossAx val="1955029135"/>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1.xlsx]Sheet 2!PivotTable4</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Shift</a:t>
            </a:r>
            <a:r>
              <a:rPr lang="en-IN" baseline="0"/>
              <a:t> VS Hour</a:t>
            </a:r>
            <a:endParaRPr lang="en-IN"/>
          </a:p>
        </c:rich>
      </c:tx>
      <c:layout>
        <c:manualLayout>
          <c:xMode val="edge"/>
          <c:yMode val="edge"/>
          <c:x val="0.44915904570224685"/>
          <c:y val="7.305336832895889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marker>
          <c:symbol val="none"/>
        </c:marker>
        <c:dLbl>
          <c:idx val="0"/>
          <c:spPr>
            <a:solidFill>
              <a:srgbClr val="EA4335">
                <a:lumMod val="60000"/>
                <a:lumOff val="40000"/>
              </a:srgbClr>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marker>
          <c:symbol val="none"/>
        </c:marker>
        <c:dLbl>
          <c:idx val="0"/>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7"/>
        <c:spPr>
          <a:solidFill>
            <a:schemeClr val="accent1"/>
          </a:solidFill>
          <a:ln w="19050">
            <a:solidFill>
              <a:schemeClr val="lt1"/>
            </a:solidFill>
          </a:ln>
          <a:effectLst/>
        </c:spPr>
        <c:marker>
          <c:symbol val="none"/>
        </c:marker>
        <c:dLbl>
          <c:idx val="0"/>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pivotFmt>
    </c:pivotFmts>
    <c:plotArea>
      <c:layout/>
      <c:pieChart>
        <c:varyColors val="1"/>
        <c:ser>
          <c:idx val="0"/>
          <c:order val="0"/>
          <c:tx>
            <c:strRef>
              <c:f>'Sheet 2'!$B$1</c:f>
              <c:strCache>
                <c:ptCount val="1"/>
                <c:pt idx="0">
                  <c:v>Sum of Hour</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F-FEC8-4215-BEE2-753CB04FFEF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E-FEC8-4215-BEE2-753CB04FFEF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558B-48D0-8E7F-56FDBF209392}"/>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10-FEC8-4215-BEE2-753CB04FFEF2}"/>
              </c:ext>
            </c:extLst>
          </c:dPt>
          <c:dLbls>
            <c:spPr>
              <a:solidFill>
                <a:srgbClr val="EA4335">
                  <a:lumMod val="60000"/>
                  <a:lumOff val="40000"/>
                </a:srgbClr>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'Sheet 2'!$A$2:$A$5</c:f>
              <c:strCache>
                <c:ptCount val="4"/>
                <c:pt idx="0">
                  <c:v>Afternoon</c:v>
                </c:pt>
                <c:pt idx="1">
                  <c:v>Evening</c:v>
                </c:pt>
                <c:pt idx="2">
                  <c:v>Morning</c:v>
                </c:pt>
                <c:pt idx="3">
                  <c:v>Night</c:v>
                </c:pt>
              </c:strCache>
            </c:strRef>
          </c:cat>
          <c:val>
            <c:numRef>
              <c:f>'Sheet 2'!$B$2:$B$5</c:f>
              <c:numCache>
                <c:formatCode>General</c:formatCode>
                <c:ptCount val="4"/>
                <c:pt idx="0">
                  <c:v>2349</c:v>
                </c:pt>
                <c:pt idx="1">
                  <c:v>3198</c:v>
                </c:pt>
                <c:pt idx="2">
                  <c:v>1326</c:v>
                </c:pt>
                <c:pt idx="3">
                  <c:v>322</c:v>
                </c:pt>
              </c:numCache>
            </c:numRef>
          </c:val>
          <c:extLst>
            <c:ext xmlns:c16="http://schemas.microsoft.com/office/drawing/2014/chart" uri="{C3380CC4-5D6E-409C-BE32-E72D297353CC}">
              <c16:uniqueId val="{00000000-FEC8-4215-BEE2-753CB04FFEF2}"/>
            </c:ext>
          </c:extLst>
        </c:ser>
        <c:ser>
          <c:idx val="1"/>
          <c:order val="1"/>
          <c:tx>
            <c:strRef>
              <c:f>'Sheet 2'!$C$1</c:f>
              <c:strCache>
                <c:ptCount val="1"/>
                <c:pt idx="0">
                  <c:v>Sum of Tem in inte.</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9-558B-48D0-8E7F-56FDBF20939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B-558B-48D0-8E7F-56FDBF20939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D-558B-48D0-8E7F-56FDBF209392}"/>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F-558B-48D0-8E7F-56FDBF209392}"/>
              </c:ext>
            </c:extLst>
          </c:dPt>
          <c:dLbls>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'Sheet 2'!$A$2:$A$5</c:f>
              <c:strCache>
                <c:ptCount val="4"/>
                <c:pt idx="0">
                  <c:v>Afternoon</c:v>
                </c:pt>
                <c:pt idx="1">
                  <c:v>Evening</c:v>
                </c:pt>
                <c:pt idx="2">
                  <c:v>Morning</c:v>
                </c:pt>
                <c:pt idx="3">
                  <c:v>Night</c:v>
                </c:pt>
              </c:strCache>
            </c:strRef>
          </c:cat>
          <c:val>
            <c:numRef>
              <c:f>'Sheet 2'!$C$2:$C$5</c:f>
              <c:numCache>
                <c:formatCode>General</c:formatCode>
                <c:ptCount val="4"/>
                <c:pt idx="0">
                  <c:v>3824</c:v>
                </c:pt>
                <c:pt idx="1">
                  <c:v>3048</c:v>
                </c:pt>
                <c:pt idx="2">
                  <c:v>2782</c:v>
                </c:pt>
                <c:pt idx="3">
                  <c:v>2356</c:v>
                </c:pt>
              </c:numCache>
            </c:numRef>
          </c:val>
          <c:extLst>
            <c:ext xmlns:c16="http://schemas.microsoft.com/office/drawing/2014/chart" uri="{C3380CC4-5D6E-409C-BE32-E72D297353CC}">
              <c16:uniqueId val="{00000011-FEC8-4215-BEE2-753CB04FFEF2}"/>
            </c:ext>
          </c:extLst>
        </c:ser>
        <c:dLbls>
          <c:dLblPos val="outEnd"/>
          <c:showLegendKey val="0"/>
          <c:showVal val="0"/>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1.xlsx]Sheet3!PivotTable6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Situ.VS</a:t>
            </a:r>
            <a:r>
              <a:rPr lang="en-US" baseline="0"/>
              <a:t> Tem</a:t>
            </a:r>
            <a:endParaRPr lang="en-US"/>
          </a:p>
        </c:rich>
      </c:tx>
      <c:layout>
        <c:manualLayout>
          <c:xMode val="edge"/>
          <c:yMode val="edge"/>
          <c:x val="0.42281933508311453"/>
          <c:y val="4.990522018081073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rgbClr val="FBBC04"/>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marker>
          <c:spPr>
            <a:solidFill>
              <a:schemeClr val="accent1"/>
            </a:solidFill>
            <a:ln w="9525">
              <a:solidFill>
                <a:schemeClr val="accent1"/>
              </a:solidFill>
            </a:ln>
            <a:effectLst/>
          </c:spPr>
        </c:marker>
        <c:dLbl>
          <c:idx val="0"/>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lt1"/>
            </a:solidFill>
          </a:ln>
          <a:effectLst/>
        </c:spPr>
        <c:dLbl>
          <c:idx val="0"/>
          <c:layout>
            <c:manualLayout>
              <c:x val="2.7777777777777776E-2"/>
              <c:y val="3.2407407407407447E-2"/>
            </c:manualLayout>
          </c:layout>
          <c:spPr>
            <a:solidFill>
              <a:srgbClr val="FBBC04"/>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1"/>
          </a:solidFill>
          <a:ln w="19050">
            <a:solidFill>
              <a:schemeClr val="lt1"/>
            </a:solidFill>
          </a:ln>
          <a:effectLst/>
        </c:spPr>
        <c:dLbl>
          <c:idx val="0"/>
          <c:layout>
            <c:manualLayout>
              <c:x val="-1.9444444444444497E-2"/>
              <c:y val="0"/>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r>
                  <a:rPr lang="en-US" baseline="0"/>
                  <a:t>Thndstrm
</a:t>
                </a:r>
                <a:fld id="{E8592BBA-C505-4E56-8020-13756ECC388E}" type="PERCENTAGE">
                  <a:rPr lang="en-US" baseline="0"/>
                  <a:pPr>
                    <a:defRPr/>
                  </a:pPr>
                  <a:t>[PERCENTAGE]</a:t>
                </a:fld>
                <a:endParaRPr lang="en-US" baseline="0"/>
              </a:p>
            </c:rich>
          </c:tx>
          <c:spPr>
            <a:solidFill>
              <a:srgbClr val="FBBC04"/>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s>
    <c:plotArea>
      <c:layout/>
      <c:pieChart>
        <c:varyColors val="1"/>
        <c:ser>
          <c:idx val="0"/>
          <c:order val="0"/>
          <c:tx>
            <c:strRef>
              <c:f>Sheet3!$B$3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3-D7A4-4D7B-BFCF-D47F556C972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BBB-48BB-A567-55AAEF7824E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1BBB-48BB-A567-55AAEF7824EB}"/>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4-D7A4-4D7B-BFCF-D47F556C9725}"/>
              </c:ext>
            </c:extLst>
          </c:dPt>
          <c:dLbls>
            <c:dLbl>
              <c:idx val="0"/>
              <c:layout>
                <c:manualLayout>
                  <c:x val="2.7777777777777776E-2"/>
                  <c:y val="3.2407407407407447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D7A4-4D7B-BFCF-D47F556C9725}"/>
                </c:ext>
              </c:extLst>
            </c:dLbl>
            <c:dLbl>
              <c:idx val="3"/>
              <c:layout>
                <c:manualLayout>
                  <c:x val="-1.9444444444444497E-2"/>
                  <c:y val="0"/>
                </c:manualLayout>
              </c:layout>
              <c:tx>
                <c:rich>
                  <a:bodyPr/>
                  <a:lstStyle/>
                  <a:p>
                    <a:r>
                      <a:rPr lang="en-US" baseline="0"/>
                      <a:t>Thndstrm
</a:t>
                    </a:r>
                    <a:fld id="{E8592BBA-C505-4E56-8020-13756ECC388E}" type="PERCENTAGE">
                      <a:rPr lang="en-US" baseline="0"/>
                      <a:pPr/>
                      <a:t>[PERCENTAGE]</a:t>
                    </a:fld>
                    <a:endParaRPr lang="en-US" baseline="0"/>
                  </a:p>
                </c:rich>
              </c:tx>
              <c:dLblPos val="bestFit"/>
              <c:showLegendKey val="0"/>
              <c:showVal val="0"/>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4-D7A4-4D7B-BFCF-D47F556C9725}"/>
                </c:ext>
              </c:extLst>
            </c:dLbl>
            <c:spPr>
              <a:solidFill>
                <a:srgbClr val="FBBC04"/>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Sheet3!$A$4:$A$8</c:f>
              <c:strCache>
                <c:ptCount val="4"/>
                <c:pt idx="0">
                  <c:v>Dark Cloudy</c:v>
                </c:pt>
                <c:pt idx="1">
                  <c:v>Mild Cloudy</c:v>
                </c:pt>
                <c:pt idx="2">
                  <c:v>Nice weather</c:v>
                </c:pt>
                <c:pt idx="3">
                  <c:v>Thunderstrome</c:v>
                </c:pt>
              </c:strCache>
            </c:strRef>
          </c:cat>
          <c:val>
            <c:numRef>
              <c:f>Sheet3!$B$4:$B$8</c:f>
              <c:numCache>
                <c:formatCode>General</c:formatCode>
                <c:ptCount val="4"/>
                <c:pt idx="0">
                  <c:v>10.4</c:v>
                </c:pt>
                <c:pt idx="1">
                  <c:v>42.99999999999995</c:v>
                </c:pt>
                <c:pt idx="2">
                  <c:v>66.48</c:v>
                </c:pt>
                <c:pt idx="3">
                  <c:v>0.22</c:v>
                </c:pt>
              </c:numCache>
            </c:numRef>
          </c:val>
          <c:extLst>
            <c:ext xmlns:c16="http://schemas.microsoft.com/office/drawing/2014/chart" uri="{C3380CC4-5D6E-409C-BE32-E72D297353CC}">
              <c16:uniqueId val="{00000000-D7A4-4D7B-BFCF-D47F556C9725}"/>
            </c:ext>
          </c:extLst>
        </c:ser>
        <c:dLbls>
          <c:showLegendKey val="0"/>
          <c:showVal val="0"/>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1.xlsx]Sheet4!PivotTable9</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Weekdays VS Temprature</a:t>
            </a:r>
          </a:p>
        </c:rich>
      </c:tx>
      <c:layout>
        <c:manualLayout>
          <c:xMode val="edge"/>
          <c:yMode val="edge"/>
          <c:x val="0.3432637795275591"/>
          <c:y val="7.768299795858850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Sheet4!$B$3</c:f>
              <c:strCache>
                <c:ptCount val="1"/>
                <c:pt idx="0">
                  <c:v>Total</c:v>
                </c:pt>
              </c:strCache>
            </c:strRef>
          </c:tx>
          <c:spPr>
            <a:solidFill>
              <a:schemeClr val="accent1"/>
            </a:solidFill>
            <a:ln>
              <a:noFill/>
            </a:ln>
            <a:effectLst/>
          </c:spPr>
          <c:invertIfNegative val="0"/>
          <c:cat>
            <c:strRef>
              <c:f>Sheet4!$A$4:$A$11</c:f>
              <c:strCache>
                <c:ptCount val="7"/>
                <c:pt idx="0">
                  <c:v>Sunday</c:v>
                </c:pt>
                <c:pt idx="1">
                  <c:v>Monday</c:v>
                </c:pt>
                <c:pt idx="2">
                  <c:v>Tuesday</c:v>
                </c:pt>
                <c:pt idx="3">
                  <c:v>Wednesday</c:v>
                </c:pt>
                <c:pt idx="4">
                  <c:v>Thursday</c:v>
                </c:pt>
                <c:pt idx="5">
                  <c:v>Friday</c:v>
                </c:pt>
                <c:pt idx="6">
                  <c:v>Saturday</c:v>
                </c:pt>
              </c:strCache>
            </c:strRef>
          </c:cat>
          <c:val>
            <c:numRef>
              <c:f>Sheet4!$B$4:$B$11</c:f>
              <c:numCache>
                <c:formatCode>General</c:formatCode>
                <c:ptCount val="7"/>
                <c:pt idx="0">
                  <c:v>14.399999999999995</c:v>
                </c:pt>
                <c:pt idx="1">
                  <c:v>16.060000000000009</c:v>
                </c:pt>
                <c:pt idx="2">
                  <c:v>19.219999999999992</c:v>
                </c:pt>
                <c:pt idx="3">
                  <c:v>16.5</c:v>
                </c:pt>
                <c:pt idx="4">
                  <c:v>15.279999999999992</c:v>
                </c:pt>
                <c:pt idx="5">
                  <c:v>19.179999999999986</c:v>
                </c:pt>
                <c:pt idx="6">
                  <c:v>19.459999999999997</c:v>
                </c:pt>
              </c:numCache>
            </c:numRef>
          </c:val>
          <c:extLst>
            <c:ext xmlns:c16="http://schemas.microsoft.com/office/drawing/2014/chart" uri="{C3380CC4-5D6E-409C-BE32-E72D297353CC}">
              <c16:uniqueId val="{00000000-7F84-4527-89C2-2C9A0E31BC65}"/>
            </c:ext>
          </c:extLst>
        </c:ser>
        <c:dLbls>
          <c:showLegendKey val="0"/>
          <c:showVal val="0"/>
          <c:showCatName val="0"/>
          <c:showSerName val="0"/>
          <c:showPercent val="0"/>
          <c:showBubbleSize val="0"/>
        </c:dLbls>
        <c:gapWidth val="182"/>
        <c:axId val="100870895"/>
        <c:axId val="1955055055"/>
      </c:barChart>
      <c:catAx>
        <c:axId val="10087089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5055055"/>
        <c:crosses val="autoZero"/>
        <c:auto val="1"/>
        <c:lblAlgn val="ctr"/>
        <c:lblOffset val="100"/>
        <c:noMultiLvlLbl val="0"/>
      </c:catAx>
      <c:valAx>
        <c:axId val="195505505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8708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1.xlsx]Sheet 1!PivotTable3</c:name>
    <c:fmtId val="14"/>
  </c:pivotSource>
  <c:chart>
    <c:title>
      <c:tx>
        <c:rich>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r>
              <a:rPr lang="en-IN"/>
              <a:t>Temp VS</a:t>
            </a:r>
            <a:r>
              <a:rPr lang="en-IN" baseline="0"/>
              <a:t> Wea.</a:t>
            </a:r>
            <a:endParaRPr lang="en-IN"/>
          </a:p>
        </c:rich>
      </c:tx>
      <c:layout>
        <c:manualLayout>
          <c:xMode val="edge"/>
          <c:yMode val="edge"/>
          <c:x val="0.29915300546448087"/>
          <c:y val="5.4534849810440364E-2"/>
        </c:manualLayout>
      </c:layout>
      <c:overlay val="0"/>
      <c:spPr>
        <a:noFill/>
        <a:ln>
          <a:noFill/>
        </a:ln>
        <a:effectLst/>
      </c:spPr>
      <c:txPr>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pPr>
            <a:solidFill>
              <a:schemeClr val="accent1"/>
            </a:solidFill>
            <a:ln>
              <a:no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circle"/>
          <c:size val="8"/>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38100"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38100"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38100"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 1'!$B$3</c:f>
              <c:strCache>
                <c:ptCount val="1"/>
                <c:pt idx="0">
                  <c:v>Sum of Temprature</c:v>
                </c:pt>
              </c:strCache>
            </c:strRef>
          </c:tx>
          <c:spPr>
            <a:solidFill>
              <a:schemeClr val="accent1"/>
            </a:solidFill>
            <a:ln>
              <a:noFill/>
            </a:ln>
            <a:effectLst/>
          </c:spPr>
          <c:invertIfNegative val="0"/>
          <c:cat>
            <c:strRef>
              <c:f>'Sheet 1'!$A$4:$A$10</c:f>
              <c:strCache>
                <c:ptCount val="7"/>
                <c:pt idx="0">
                  <c:v>Sunday</c:v>
                </c:pt>
                <c:pt idx="1">
                  <c:v>Monday</c:v>
                </c:pt>
                <c:pt idx="2">
                  <c:v>Tuesday</c:v>
                </c:pt>
                <c:pt idx="3">
                  <c:v>Wednesday</c:v>
                </c:pt>
                <c:pt idx="4">
                  <c:v>Thursday</c:v>
                </c:pt>
                <c:pt idx="5">
                  <c:v>Friday</c:v>
                </c:pt>
                <c:pt idx="6">
                  <c:v>Saturday</c:v>
                </c:pt>
              </c:strCache>
            </c:strRef>
          </c:cat>
          <c:val>
            <c:numRef>
              <c:f>'Sheet 1'!$B$4:$B$10</c:f>
              <c:numCache>
                <c:formatCode>General</c:formatCode>
                <c:ptCount val="7"/>
                <c:pt idx="0">
                  <c:v>14.399999999999995</c:v>
                </c:pt>
                <c:pt idx="1">
                  <c:v>16.060000000000009</c:v>
                </c:pt>
                <c:pt idx="2">
                  <c:v>19.219999999999992</c:v>
                </c:pt>
                <c:pt idx="3">
                  <c:v>16.5</c:v>
                </c:pt>
                <c:pt idx="4">
                  <c:v>15.279999999999992</c:v>
                </c:pt>
                <c:pt idx="5">
                  <c:v>19.179999999999986</c:v>
                </c:pt>
                <c:pt idx="6">
                  <c:v>19.459999999999997</c:v>
                </c:pt>
              </c:numCache>
            </c:numRef>
          </c:val>
          <c:extLst>
            <c:ext xmlns:c16="http://schemas.microsoft.com/office/drawing/2014/chart" uri="{C3380CC4-5D6E-409C-BE32-E72D297353CC}">
              <c16:uniqueId val="{00000000-BE39-45F3-AA68-913A26C66797}"/>
            </c:ext>
          </c:extLst>
        </c:ser>
        <c:dLbls>
          <c:showLegendKey val="0"/>
          <c:showVal val="0"/>
          <c:showCatName val="0"/>
          <c:showSerName val="0"/>
          <c:showPercent val="0"/>
          <c:showBubbleSize val="0"/>
        </c:dLbls>
        <c:gapWidth val="269"/>
        <c:axId val="1947099471"/>
        <c:axId val="1955029135"/>
      </c:barChart>
      <c:lineChart>
        <c:grouping val="standard"/>
        <c:varyColors val="0"/>
        <c:ser>
          <c:idx val="1"/>
          <c:order val="1"/>
          <c:tx>
            <c:strRef>
              <c:f>'Sheet 1'!$C$3</c:f>
              <c:strCache>
                <c:ptCount val="1"/>
                <c:pt idx="0">
                  <c:v>Sum of Weat.Situ.</c:v>
                </c:pt>
              </c:strCache>
            </c:strRef>
          </c:tx>
          <c:spPr>
            <a:ln w="38100" cap="rnd">
              <a:solidFill>
                <a:schemeClr val="accent2"/>
              </a:solidFill>
              <a:round/>
            </a:ln>
            <a:effectLst/>
          </c:spPr>
          <c:marker>
            <c:symbol val="none"/>
          </c:marker>
          <c:cat>
            <c:strRef>
              <c:f>'Sheet 1'!$A$4:$A$10</c:f>
              <c:strCache>
                <c:ptCount val="7"/>
                <c:pt idx="0">
                  <c:v>Sunday</c:v>
                </c:pt>
                <c:pt idx="1">
                  <c:v>Monday</c:v>
                </c:pt>
                <c:pt idx="2">
                  <c:v>Tuesday</c:v>
                </c:pt>
                <c:pt idx="3">
                  <c:v>Wednesday</c:v>
                </c:pt>
                <c:pt idx="4">
                  <c:v>Thursday</c:v>
                </c:pt>
                <c:pt idx="5">
                  <c:v>Friday</c:v>
                </c:pt>
                <c:pt idx="6">
                  <c:v>Saturday</c:v>
                </c:pt>
              </c:strCache>
            </c:strRef>
          </c:cat>
          <c:val>
            <c:numRef>
              <c:f>'Sheet 1'!$C$4:$C$10</c:f>
              <c:numCache>
                <c:formatCode>General</c:formatCode>
                <c:ptCount val="7"/>
                <c:pt idx="0">
                  <c:v>134</c:v>
                </c:pt>
                <c:pt idx="1">
                  <c:v>133</c:v>
                </c:pt>
                <c:pt idx="2">
                  <c:v>132</c:v>
                </c:pt>
                <c:pt idx="3">
                  <c:v>102</c:v>
                </c:pt>
                <c:pt idx="4">
                  <c:v>131</c:v>
                </c:pt>
                <c:pt idx="5">
                  <c:v>146</c:v>
                </c:pt>
                <c:pt idx="6">
                  <c:v>123</c:v>
                </c:pt>
              </c:numCache>
            </c:numRef>
          </c:val>
          <c:smooth val="0"/>
          <c:extLst>
            <c:ext xmlns:c16="http://schemas.microsoft.com/office/drawing/2014/chart" uri="{C3380CC4-5D6E-409C-BE32-E72D297353CC}">
              <c16:uniqueId val="{00000001-BE39-45F3-AA68-913A26C66797}"/>
            </c:ext>
          </c:extLst>
        </c:ser>
        <c:dLbls>
          <c:showLegendKey val="0"/>
          <c:showVal val="0"/>
          <c:showCatName val="0"/>
          <c:showSerName val="0"/>
          <c:showPercent val="0"/>
          <c:showBubbleSize val="0"/>
        </c:dLbls>
        <c:marker val="1"/>
        <c:smooth val="0"/>
        <c:axId val="1947092511"/>
        <c:axId val="1650091983"/>
      </c:lineChart>
      <c:valAx>
        <c:axId val="165009198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7092511"/>
        <c:crosses val="autoZero"/>
        <c:crossBetween val="between"/>
      </c:valAx>
      <c:catAx>
        <c:axId val="1947092511"/>
        <c:scaling>
          <c:orientation val="minMax"/>
        </c:scaling>
        <c:delete val="1"/>
        <c:axPos val="b"/>
        <c:numFmt formatCode="General" sourceLinked="1"/>
        <c:majorTickMark val="out"/>
        <c:minorTickMark val="none"/>
        <c:tickLblPos val="nextTo"/>
        <c:crossAx val="1650091983"/>
        <c:crosses val="autoZero"/>
        <c:auto val="1"/>
        <c:lblAlgn val="ctr"/>
        <c:lblOffset val="100"/>
        <c:noMultiLvlLbl val="0"/>
      </c:catAx>
      <c:valAx>
        <c:axId val="1955029135"/>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7099471"/>
        <c:crosses val="max"/>
        <c:crossBetween val="between"/>
      </c:valAx>
      <c:catAx>
        <c:axId val="1947099471"/>
        <c:scaling>
          <c:orientation val="minMax"/>
        </c:scaling>
        <c:delete val="1"/>
        <c:axPos val="b"/>
        <c:numFmt formatCode="General" sourceLinked="1"/>
        <c:majorTickMark val="out"/>
        <c:minorTickMark val="none"/>
        <c:tickLblPos val="nextTo"/>
        <c:crossAx val="1955029135"/>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1.xlsx]Sheet 2!PivotTable4</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Shift VS Hours</a:t>
            </a:r>
          </a:p>
        </c:rich>
      </c:tx>
      <c:layout>
        <c:manualLayout>
          <c:xMode val="edge"/>
          <c:yMode val="edge"/>
          <c:x val="0.43934784314751352"/>
          <c:y val="6.9026804720276114E-2"/>
        </c:manualLayout>
      </c:layout>
      <c:overlay val="0"/>
      <c:spPr>
        <a:noFill/>
        <a:ln>
          <a:noFill/>
        </a:ln>
        <a:effectLst/>
      </c:spPr>
    </c:title>
    <c:autoTitleDeleted val="0"/>
    <c:pivotFmts>
      <c:pivotFmt>
        <c:idx val="0"/>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5"/>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6"/>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7"/>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8"/>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9"/>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10"/>
        <c:spPr>
          <a:solidFill>
            <a:schemeClr val="accent1"/>
          </a:solidFill>
          <a:ln w="19050">
            <a:solidFill>
              <a:schemeClr val="lt1"/>
            </a:solidFill>
          </a:ln>
          <a:effectLst/>
        </c:spPr>
        <c:marker>
          <c:symbol val="none"/>
        </c:marker>
        <c:dLbl>
          <c:idx val="0"/>
          <c:spPr>
            <a:solidFill>
              <a:srgbClr val="EA4335">
                <a:lumMod val="60000"/>
                <a:lumOff val="40000"/>
              </a:srgbClr>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11"/>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12"/>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13"/>
        <c:spPr>
          <a:solidFill>
            <a:schemeClr val="accent2"/>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4"/>
          </a:solidFill>
          <a:ln w="19050">
            <a:solidFill>
              <a:schemeClr val="lt1"/>
            </a:solidFill>
          </a:ln>
          <a:effectLst/>
        </c:spPr>
      </c:pivotFmt>
      <c:pivotFmt>
        <c:idx val="16"/>
        <c:spPr>
          <a:solidFill>
            <a:schemeClr val="accent1"/>
          </a:solidFill>
          <a:ln w="19050">
            <a:solidFill>
              <a:schemeClr val="lt1"/>
            </a:solidFill>
          </a:ln>
          <a:effectLst/>
        </c:spPr>
        <c:marker>
          <c:symbol val="none"/>
        </c:marker>
        <c:dLbl>
          <c:idx val="0"/>
          <c:spPr>
            <a:solidFill>
              <a:srgbClr val="EA4335">
                <a:lumMod val="60000"/>
                <a:lumOff val="40000"/>
              </a:srgbClr>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marker>
          <c:symbol val="none"/>
        </c:marker>
        <c:dLbl>
          <c:idx val="0"/>
          <c:spPr>
            <a:solidFill>
              <a:srgbClr val="EA4335">
                <a:lumMod val="60000"/>
                <a:lumOff val="40000"/>
              </a:srgbClr>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marker>
          <c:symbol val="none"/>
        </c:marker>
        <c:dLbl>
          <c:idx val="0"/>
          <c:spPr>
            <a:solidFill>
              <a:srgbClr val="EA4335">
                <a:lumMod val="60000"/>
                <a:lumOff val="40000"/>
              </a:srgbClr>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27"/>
        <c:spPr>
          <a:solidFill>
            <a:schemeClr val="accent1"/>
          </a:solidFill>
          <a:ln w="19050">
            <a:solidFill>
              <a:schemeClr val="lt1"/>
            </a:solidFill>
          </a:ln>
          <a:effectLst/>
        </c:spPr>
      </c:pivotFmt>
      <c:pivotFmt>
        <c:idx val="28"/>
        <c:spPr>
          <a:solidFill>
            <a:schemeClr val="accent2"/>
          </a:solidFill>
          <a:ln w="19050">
            <a:solidFill>
              <a:schemeClr val="lt1"/>
            </a:solidFill>
          </a:ln>
          <a:effectLst/>
        </c:spPr>
        <c:dLbl>
          <c:idx val="0"/>
          <c:layout>
            <c:manualLayout>
              <c:x val="-3.3222591362126269E-2"/>
              <c:y val="-4.3744531933508475E-2"/>
            </c:manualLayout>
          </c:layout>
          <c:spPr>
            <a:solidFill>
              <a:srgbClr val="EA4335">
                <a:lumMod val="60000"/>
                <a:lumOff val="40000"/>
              </a:srgbClr>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29"/>
        <c:spPr>
          <a:solidFill>
            <a:schemeClr val="accent3"/>
          </a:solidFill>
          <a:ln w="19050">
            <a:solidFill>
              <a:schemeClr val="lt1"/>
            </a:solidFill>
          </a:ln>
          <a:effectLst/>
        </c:spPr>
      </c:pivotFmt>
      <c:pivotFmt>
        <c:idx val="30"/>
        <c:spPr>
          <a:solidFill>
            <a:schemeClr val="accent4"/>
          </a:solidFill>
          <a:ln w="19050">
            <a:solidFill>
              <a:schemeClr val="lt1"/>
            </a:solidFill>
          </a:ln>
          <a:effectLst/>
        </c:spPr>
      </c:pivotFmt>
      <c:pivotFmt>
        <c:idx val="31"/>
        <c:marker>
          <c:symbol val="none"/>
        </c:marker>
        <c:dLbl>
          <c:idx val="0"/>
          <c:delete val="1"/>
          <c:extLst>
            <c:ext xmlns:c15="http://schemas.microsoft.com/office/drawing/2012/chart" uri="{CE6537A1-D6FC-4f65-9D91-7224C49458BB}"/>
          </c:extLst>
        </c:dLbl>
      </c:pivotFmt>
      <c:pivotFmt>
        <c:idx val="32"/>
        <c:marker>
          <c:symbol val="none"/>
        </c:marker>
        <c:dLbl>
          <c:idx val="0"/>
          <c:delete val="1"/>
          <c:extLst>
            <c:ext xmlns:c15="http://schemas.microsoft.com/office/drawing/2012/chart" uri="{CE6537A1-D6FC-4f65-9D91-7224C49458BB}"/>
          </c:extLst>
        </c:dLbl>
      </c:pivotFmt>
    </c:pivotFmts>
    <c:plotArea>
      <c:layout/>
      <c:pieChart>
        <c:varyColors val="1"/>
        <c:ser>
          <c:idx val="0"/>
          <c:order val="0"/>
          <c:tx>
            <c:strRef>
              <c:f>'Sheet 2'!$B$1</c:f>
              <c:strCache>
                <c:ptCount val="1"/>
                <c:pt idx="0">
                  <c:v>Sum of Hour</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B-D140-40CE-8B0F-24FFA15FBDE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D-D140-40CE-8B0F-24FFA15FBDE3}"/>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F-D140-40CE-8B0F-24FFA15FBDE3}"/>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11-D140-40CE-8B0F-24FFA15FBDE3}"/>
              </c:ext>
            </c:extLst>
          </c:dPt>
          <c:dLbls>
            <c:dLbl>
              <c:idx val="1"/>
              <c:layout>
                <c:manualLayout>
                  <c:x val="-3.3222591362126269E-2"/>
                  <c:y val="-4.3744531933508475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D-D140-40CE-8B0F-24FFA15FBDE3}"/>
                </c:ext>
              </c:extLst>
            </c:dLbl>
            <c:spPr>
              <a:solidFill>
                <a:srgbClr val="EA4335">
                  <a:lumMod val="60000"/>
                  <a:lumOff val="40000"/>
                </a:srgbClr>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c15:spPr>
              </c:ext>
            </c:extLst>
          </c:dLbls>
          <c:cat>
            <c:strRef>
              <c:f>'Sheet 2'!$A$2:$A$5</c:f>
              <c:strCache>
                <c:ptCount val="4"/>
                <c:pt idx="0">
                  <c:v>Afternoon</c:v>
                </c:pt>
                <c:pt idx="1">
                  <c:v>Evening</c:v>
                </c:pt>
                <c:pt idx="2">
                  <c:v>Morning</c:v>
                </c:pt>
                <c:pt idx="3">
                  <c:v>Night</c:v>
                </c:pt>
              </c:strCache>
            </c:strRef>
          </c:cat>
          <c:val>
            <c:numRef>
              <c:f>'Sheet 2'!$B$2:$B$5</c:f>
              <c:numCache>
                <c:formatCode>General</c:formatCode>
                <c:ptCount val="4"/>
                <c:pt idx="0">
                  <c:v>2349</c:v>
                </c:pt>
                <c:pt idx="1">
                  <c:v>3198</c:v>
                </c:pt>
                <c:pt idx="2">
                  <c:v>1326</c:v>
                </c:pt>
                <c:pt idx="3">
                  <c:v>322</c:v>
                </c:pt>
              </c:numCache>
            </c:numRef>
          </c:val>
          <c:extLst>
            <c:ext xmlns:c16="http://schemas.microsoft.com/office/drawing/2014/chart" uri="{C3380CC4-5D6E-409C-BE32-E72D297353CC}">
              <c16:uniqueId val="{00000012-D140-40CE-8B0F-24FFA15FBDE3}"/>
            </c:ext>
          </c:extLst>
        </c:ser>
        <c:ser>
          <c:idx val="1"/>
          <c:order val="1"/>
          <c:tx>
            <c:strRef>
              <c:f>'Sheet 2'!$C$1</c:f>
              <c:strCache>
                <c:ptCount val="1"/>
                <c:pt idx="0">
                  <c:v>Sum of Tem in inte.</c:v>
                </c:pt>
              </c:strCache>
            </c:strRef>
          </c:tx>
          <c:cat>
            <c:strRef>
              <c:f>'Sheet 2'!$A$2:$A$5</c:f>
              <c:strCache>
                <c:ptCount val="4"/>
                <c:pt idx="0">
                  <c:v>Afternoon</c:v>
                </c:pt>
                <c:pt idx="1">
                  <c:v>Evening</c:v>
                </c:pt>
                <c:pt idx="2">
                  <c:v>Morning</c:v>
                </c:pt>
                <c:pt idx="3">
                  <c:v>Night</c:v>
                </c:pt>
              </c:strCache>
            </c:strRef>
          </c:cat>
          <c:val>
            <c:numRef>
              <c:f>'Sheet 2'!$C$2:$C$5</c:f>
              <c:numCache>
                <c:formatCode>General</c:formatCode>
                <c:ptCount val="4"/>
                <c:pt idx="0">
                  <c:v>3824</c:v>
                </c:pt>
                <c:pt idx="1">
                  <c:v>3048</c:v>
                </c:pt>
                <c:pt idx="2">
                  <c:v>2782</c:v>
                </c:pt>
                <c:pt idx="3">
                  <c:v>2356</c:v>
                </c:pt>
              </c:numCache>
            </c:numRef>
          </c:val>
          <c:extLst>
            <c:ext xmlns:c16="http://schemas.microsoft.com/office/drawing/2014/chart" uri="{C3380CC4-5D6E-409C-BE32-E72D297353CC}">
              <c16:uniqueId val="{00000013-D140-40CE-8B0F-24FFA15FBDE3}"/>
            </c:ext>
          </c:extLst>
        </c:ser>
        <c:dLbls>
          <c:dLblPos val="outEnd"/>
          <c:showLegendKey val="0"/>
          <c:showVal val="0"/>
          <c:showCatName val="0"/>
          <c:showSerName val="0"/>
          <c:showPercent val="0"/>
          <c:showBubbleSize val="0"/>
          <c:showLeaderLines val="0"/>
        </c:dLbls>
        <c:firstSliceAng val="0"/>
      </c:pieChart>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1.xlsx]Sheet3!PivotTable6</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Situ.VS</a:t>
            </a:r>
            <a:r>
              <a:rPr lang="en-US" baseline="0"/>
              <a:t> Tem</a:t>
            </a:r>
            <a:endParaRPr lang="en-US"/>
          </a:p>
        </c:rich>
      </c:tx>
      <c:layout>
        <c:manualLayout>
          <c:xMode val="edge"/>
          <c:yMode val="edge"/>
          <c:x val="0.46726377952755904"/>
          <c:y val="3.13867016622922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circle"/>
          <c:size val="5"/>
        </c:marker>
        <c:dLbl>
          <c:idx val="0"/>
          <c:spPr>
            <a:solidFill>
              <a:srgbClr val="FBBC04"/>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marker>
          <c:spPr>
            <a:solidFill>
              <a:schemeClr val="accent1"/>
            </a:solidFill>
            <a:ln w="9525">
              <a:solidFill>
                <a:schemeClr val="accent1"/>
              </a:solidFill>
            </a:ln>
            <a:effectLst/>
          </c:spPr>
        </c:marker>
        <c:dLbl>
          <c:idx val="0"/>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lt1"/>
            </a:solidFill>
          </a:ln>
          <a:effectLst/>
        </c:spPr>
        <c:dLbl>
          <c:idx val="0"/>
          <c:layout>
            <c:manualLayout>
              <c:x val="2.7777777777777776E-2"/>
              <c:y val="3.2407407407407447E-2"/>
            </c:manualLayout>
          </c:layout>
          <c:spPr>
            <a:solidFill>
              <a:srgbClr val="FBBC04"/>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4"/>
          </a:solidFill>
          <a:ln w="19050">
            <a:solidFill>
              <a:schemeClr val="lt1"/>
            </a:solidFill>
          </a:ln>
          <a:effectLst/>
        </c:spPr>
        <c:dLbl>
          <c:idx val="0"/>
          <c:layout>
            <c:manualLayout>
              <c:x val="-1.9444444444444497E-2"/>
              <c:y val="0"/>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r>
                  <a:rPr lang="en-US" baseline="0"/>
                  <a:t>Thndstrm
</a:t>
                </a:r>
                <a:fld id="{E8592BBA-C505-4E56-8020-13756ECC388E}" type="PERCENTAGE">
                  <a:rPr lang="en-US" baseline="0"/>
                  <a:pPr>
                    <a:defRPr sz="900" b="0" i="0" u="none" strike="noStrike" kern="1200" baseline="0">
                      <a:solidFill>
                        <a:schemeClr val="dk1">
                          <a:lumMod val="65000"/>
                          <a:lumOff val="35000"/>
                        </a:schemeClr>
                      </a:solidFill>
                      <a:latin typeface="+mn-lt"/>
                      <a:ea typeface="+mn-ea"/>
                      <a:cs typeface="+mn-cs"/>
                    </a:defRPr>
                  </a:pPr>
                  <a:t>[PERCENTAGE]</a:t>
                </a:fld>
                <a:endParaRPr lang="en-US" baseline="0"/>
              </a:p>
            </c:rich>
          </c:tx>
          <c:spPr>
            <a:solidFill>
              <a:srgbClr val="FBBC04"/>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4"/>
        <c:spPr>
          <a:solidFill>
            <a:schemeClr val="accent1"/>
          </a:solidFill>
          <a:ln w="19050">
            <a:solidFill>
              <a:schemeClr val="lt1"/>
            </a:solidFill>
          </a:ln>
          <a:effectLst/>
        </c:spPr>
        <c:marker>
          <c:symbol val="none"/>
        </c:marker>
        <c:dLbl>
          <c:idx val="0"/>
          <c:spPr>
            <a:solidFill>
              <a:srgbClr val="FBBC04"/>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1"/>
          </a:solidFill>
          <a:ln w="19050">
            <a:solidFill>
              <a:schemeClr val="lt1"/>
            </a:solidFill>
          </a:ln>
          <a:effectLst/>
        </c:spPr>
        <c:dLbl>
          <c:idx val="0"/>
          <c:layout>
            <c:manualLayout>
              <c:x val="2.7777777777777776E-2"/>
              <c:y val="3.2407407407407447E-2"/>
            </c:manualLayout>
          </c:layout>
          <c:spPr>
            <a:solidFill>
              <a:srgbClr val="FBBC04"/>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dLbl>
          <c:idx val="0"/>
          <c:layout>
            <c:manualLayout>
              <c:x val="-1.9444444444444497E-2"/>
              <c:y val="0"/>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r>
                  <a:rPr lang="en-US" baseline="0"/>
                  <a:t>Thndstrm
</a:t>
                </a:r>
                <a:fld id="{E8592BBA-C505-4E56-8020-13756ECC388E}" type="PERCENTAGE">
                  <a:rPr lang="en-US" baseline="0"/>
                  <a:pPr>
                    <a:defRPr sz="900" b="0" i="0" u="none" strike="noStrike" kern="1200" baseline="0">
                      <a:solidFill>
                        <a:schemeClr val="dk1">
                          <a:lumMod val="65000"/>
                          <a:lumOff val="35000"/>
                        </a:schemeClr>
                      </a:solidFill>
                      <a:latin typeface="+mn-lt"/>
                      <a:ea typeface="+mn-ea"/>
                      <a:cs typeface="+mn-cs"/>
                    </a:defRPr>
                  </a:pPr>
                  <a:t>[PERCENTAGE]</a:t>
                </a:fld>
                <a:endParaRPr lang="en-US" baseline="0"/>
              </a:p>
            </c:rich>
          </c:tx>
          <c:spPr>
            <a:solidFill>
              <a:srgbClr val="FBBC04"/>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9"/>
        <c:spPr>
          <a:solidFill>
            <a:schemeClr val="accent1"/>
          </a:solidFill>
          <a:ln w="19050">
            <a:solidFill>
              <a:schemeClr val="lt1"/>
            </a:solidFill>
          </a:ln>
          <a:effectLst/>
        </c:spPr>
        <c:marker>
          <c:symbol val="none"/>
        </c:marker>
        <c:dLbl>
          <c:idx val="0"/>
          <c:spPr>
            <a:solidFill>
              <a:srgbClr val="FBBC04"/>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solidFill>
            <a:schemeClr val="accent1"/>
          </a:solidFill>
          <a:ln w="19050">
            <a:solidFill>
              <a:schemeClr val="lt1"/>
            </a:solidFill>
          </a:ln>
          <a:effectLst/>
        </c:spPr>
        <c:dLbl>
          <c:idx val="0"/>
          <c:layout>
            <c:manualLayout>
              <c:x val="2.7777777777777776E-2"/>
              <c:y val="3.2407407407407447E-2"/>
            </c:manualLayout>
          </c:layout>
          <c:spPr>
            <a:solidFill>
              <a:srgbClr val="FBBC04"/>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dLbl>
          <c:idx val="0"/>
          <c:layout>
            <c:manualLayout>
              <c:x val="-1.9444444444444497E-2"/>
              <c:y val="0"/>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r>
                  <a:rPr lang="en-US" baseline="0"/>
                  <a:t>Thndstrm
</a:t>
                </a:r>
                <a:fld id="{E8592BBA-C505-4E56-8020-13756ECC388E}" type="PERCENTAGE">
                  <a:rPr lang="en-US" baseline="0"/>
                  <a:pPr>
                    <a:defRPr/>
                  </a:pPr>
                  <a:t>[PERCENTAGE]</a:t>
                </a:fld>
                <a:endParaRPr lang="en-US" baseline="0"/>
              </a:p>
            </c:rich>
          </c:tx>
          <c:spPr>
            <a:solidFill>
              <a:srgbClr val="FBBC04"/>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s>
    <c:plotArea>
      <c:layout/>
      <c:pieChart>
        <c:varyColors val="1"/>
        <c:ser>
          <c:idx val="0"/>
          <c:order val="0"/>
          <c:tx>
            <c:strRef>
              <c:f>Sheet3!$B$3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E13-4374-9630-6DFD2364F8B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E13-4374-9630-6DFD2364F8B6}"/>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7E13-4374-9630-6DFD2364F8B6}"/>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7E13-4374-9630-6DFD2364F8B6}"/>
              </c:ext>
            </c:extLst>
          </c:dPt>
          <c:dLbls>
            <c:dLbl>
              <c:idx val="0"/>
              <c:layout>
                <c:manualLayout>
                  <c:x val="2.7777777777777776E-2"/>
                  <c:y val="3.2407407407407447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7E13-4374-9630-6DFD2364F8B6}"/>
                </c:ext>
              </c:extLst>
            </c:dLbl>
            <c:dLbl>
              <c:idx val="3"/>
              <c:layout>
                <c:manualLayout>
                  <c:x val="-1.9444444444444497E-2"/>
                  <c:y val="0"/>
                </c:manualLayout>
              </c:layout>
              <c:tx>
                <c:rich>
                  <a:bodyPr/>
                  <a:lstStyle/>
                  <a:p>
                    <a:r>
                      <a:rPr lang="en-US" baseline="0"/>
                      <a:t>Thndstrm
</a:t>
                    </a:r>
                    <a:fld id="{E8592BBA-C505-4E56-8020-13756ECC388E}" type="PERCENTAGE">
                      <a:rPr lang="en-US" baseline="0"/>
                      <a:pPr/>
                      <a:t>[PERCENTAGE]</a:t>
                    </a:fld>
                    <a:endParaRPr lang="en-US" baseline="0"/>
                  </a:p>
                </c:rich>
              </c:tx>
              <c:dLblPos val="bestFit"/>
              <c:showLegendKey val="0"/>
              <c:showVal val="0"/>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7-7E13-4374-9630-6DFD2364F8B6}"/>
                </c:ext>
              </c:extLst>
            </c:dLbl>
            <c:spPr>
              <a:solidFill>
                <a:srgbClr val="FBBC04"/>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Sheet3!$A$4:$A$8</c:f>
              <c:strCache>
                <c:ptCount val="4"/>
                <c:pt idx="0">
                  <c:v>Dark Cloudy</c:v>
                </c:pt>
                <c:pt idx="1">
                  <c:v>Mild Cloudy</c:v>
                </c:pt>
                <c:pt idx="2">
                  <c:v>Nice weather</c:v>
                </c:pt>
                <c:pt idx="3">
                  <c:v>Thunderstrome</c:v>
                </c:pt>
              </c:strCache>
            </c:strRef>
          </c:cat>
          <c:val>
            <c:numRef>
              <c:f>Sheet3!$B$4:$B$8</c:f>
              <c:numCache>
                <c:formatCode>General</c:formatCode>
                <c:ptCount val="4"/>
                <c:pt idx="0">
                  <c:v>10.4</c:v>
                </c:pt>
                <c:pt idx="1">
                  <c:v>42.99999999999995</c:v>
                </c:pt>
                <c:pt idx="2">
                  <c:v>66.48</c:v>
                </c:pt>
                <c:pt idx="3">
                  <c:v>0.22</c:v>
                </c:pt>
              </c:numCache>
            </c:numRef>
          </c:val>
          <c:extLst>
            <c:ext xmlns:c16="http://schemas.microsoft.com/office/drawing/2014/chart" uri="{C3380CC4-5D6E-409C-BE32-E72D297353CC}">
              <c16:uniqueId val="{00000008-7E13-4374-9630-6DFD2364F8B6}"/>
            </c:ext>
          </c:extLst>
        </c:ser>
        <c:dLbls>
          <c:showLegendKey val="0"/>
          <c:showVal val="0"/>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1.xlsx]Sheet4!PivotTable9</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Weekdays</a:t>
            </a:r>
            <a:r>
              <a:rPr lang="en-US" baseline="0"/>
              <a:t> VS Temprature</a:t>
            </a:r>
          </a:p>
        </c:rich>
      </c:tx>
      <c:layout>
        <c:manualLayout>
          <c:xMode val="edge"/>
          <c:yMode val="edge"/>
          <c:x val="0.32515902960046661"/>
          <c:y val="9.079830930224630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Sheet4!$B$3</c:f>
              <c:strCache>
                <c:ptCount val="1"/>
                <c:pt idx="0">
                  <c:v>Total</c:v>
                </c:pt>
              </c:strCache>
            </c:strRef>
          </c:tx>
          <c:spPr>
            <a:solidFill>
              <a:schemeClr val="accent1"/>
            </a:solidFill>
            <a:ln>
              <a:noFill/>
            </a:ln>
            <a:effectLst/>
          </c:spPr>
          <c:invertIfNegative val="0"/>
          <c:cat>
            <c:strRef>
              <c:f>Sheet4!$A$4:$A$11</c:f>
              <c:strCache>
                <c:ptCount val="7"/>
                <c:pt idx="0">
                  <c:v>Sunday</c:v>
                </c:pt>
                <c:pt idx="1">
                  <c:v>Monday</c:v>
                </c:pt>
                <c:pt idx="2">
                  <c:v>Tuesday</c:v>
                </c:pt>
                <c:pt idx="3">
                  <c:v>Wednesday</c:v>
                </c:pt>
                <c:pt idx="4">
                  <c:v>Thursday</c:v>
                </c:pt>
                <c:pt idx="5">
                  <c:v>Friday</c:v>
                </c:pt>
                <c:pt idx="6">
                  <c:v>Saturday</c:v>
                </c:pt>
              </c:strCache>
            </c:strRef>
          </c:cat>
          <c:val>
            <c:numRef>
              <c:f>Sheet4!$B$4:$B$11</c:f>
              <c:numCache>
                <c:formatCode>General</c:formatCode>
                <c:ptCount val="7"/>
                <c:pt idx="0">
                  <c:v>14.399999999999995</c:v>
                </c:pt>
                <c:pt idx="1">
                  <c:v>16.060000000000009</c:v>
                </c:pt>
                <c:pt idx="2">
                  <c:v>19.219999999999992</c:v>
                </c:pt>
                <c:pt idx="3">
                  <c:v>16.5</c:v>
                </c:pt>
                <c:pt idx="4">
                  <c:v>15.279999999999992</c:v>
                </c:pt>
                <c:pt idx="5">
                  <c:v>19.179999999999986</c:v>
                </c:pt>
                <c:pt idx="6">
                  <c:v>19.459999999999997</c:v>
                </c:pt>
              </c:numCache>
            </c:numRef>
          </c:val>
          <c:extLst>
            <c:ext xmlns:c16="http://schemas.microsoft.com/office/drawing/2014/chart" uri="{C3380CC4-5D6E-409C-BE32-E72D297353CC}">
              <c16:uniqueId val="{00000000-15A3-4A8F-B345-88D091C03C4D}"/>
            </c:ext>
          </c:extLst>
        </c:ser>
        <c:dLbls>
          <c:showLegendKey val="0"/>
          <c:showVal val="0"/>
          <c:showCatName val="0"/>
          <c:showSerName val="0"/>
          <c:showPercent val="0"/>
          <c:showBubbleSize val="0"/>
        </c:dLbls>
        <c:gapWidth val="182"/>
        <c:axId val="100870895"/>
        <c:axId val="1955055055"/>
      </c:barChart>
      <c:catAx>
        <c:axId val="10087089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5055055"/>
        <c:crosses val="autoZero"/>
        <c:auto val="1"/>
        <c:lblAlgn val="ctr"/>
        <c:lblOffset val="100"/>
        <c:noMultiLvlLbl val="0"/>
      </c:catAx>
      <c:valAx>
        <c:axId val="195505505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8708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3</xdr:col>
      <xdr:colOff>320040</xdr:colOff>
      <xdr:row>2</xdr:row>
      <xdr:rowOff>64770</xdr:rowOff>
    </xdr:from>
    <xdr:to>
      <xdr:col>11</xdr:col>
      <xdr:colOff>91440</xdr:colOff>
      <xdr:row>18</xdr:row>
      <xdr:rowOff>125730</xdr:rowOff>
    </xdr:to>
    <xdr:graphicFrame macro="">
      <xdr:nvGraphicFramePr>
        <xdr:cNvPr id="2" name="Chart 1">
          <a:extLst>
            <a:ext uri="{FF2B5EF4-FFF2-40B4-BE49-F238E27FC236}">
              <a16:creationId xmlns:a16="http://schemas.microsoft.com/office/drawing/2014/main" id="{F61D20DC-27D8-C716-23FF-48E2D236F2F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518160</xdr:colOff>
      <xdr:row>1</xdr:row>
      <xdr:rowOff>125730</xdr:rowOff>
    </xdr:from>
    <xdr:to>
      <xdr:col>11</xdr:col>
      <xdr:colOff>114300</xdr:colOff>
      <xdr:row>18</xdr:row>
      <xdr:rowOff>19050</xdr:rowOff>
    </xdr:to>
    <xdr:graphicFrame macro="">
      <xdr:nvGraphicFramePr>
        <xdr:cNvPr id="4" name="Chart 3">
          <a:extLst>
            <a:ext uri="{FF2B5EF4-FFF2-40B4-BE49-F238E27FC236}">
              <a16:creationId xmlns:a16="http://schemas.microsoft.com/office/drawing/2014/main" id="{6EE05440-DF6C-9736-DF58-2C5702324E7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502920</xdr:colOff>
      <xdr:row>1</xdr:row>
      <xdr:rowOff>80010</xdr:rowOff>
    </xdr:from>
    <xdr:to>
      <xdr:col>12</xdr:col>
      <xdr:colOff>198120</xdr:colOff>
      <xdr:row>17</xdr:row>
      <xdr:rowOff>140970</xdr:rowOff>
    </xdr:to>
    <xdr:graphicFrame macro="">
      <xdr:nvGraphicFramePr>
        <xdr:cNvPr id="2" name="Chart 1">
          <a:extLst>
            <a:ext uri="{FF2B5EF4-FFF2-40B4-BE49-F238E27FC236}">
              <a16:creationId xmlns:a16="http://schemas.microsoft.com/office/drawing/2014/main" id="{B21F79D3-5CD7-04D4-37AF-2D0DFFD213E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68580</xdr:colOff>
      <xdr:row>2</xdr:row>
      <xdr:rowOff>125730</xdr:rowOff>
    </xdr:from>
    <xdr:to>
      <xdr:col>10</xdr:col>
      <xdr:colOff>373380</xdr:colOff>
      <xdr:row>19</xdr:row>
      <xdr:rowOff>19050</xdr:rowOff>
    </xdr:to>
    <xdr:graphicFrame macro="">
      <xdr:nvGraphicFramePr>
        <xdr:cNvPr id="2" name="Chart 1">
          <a:extLst>
            <a:ext uri="{FF2B5EF4-FFF2-40B4-BE49-F238E27FC236}">
              <a16:creationId xmlns:a16="http://schemas.microsoft.com/office/drawing/2014/main" id="{4D6D0AAC-CC37-9488-4E6F-4941221FF05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6</xdr:col>
      <xdr:colOff>220980</xdr:colOff>
      <xdr:row>5</xdr:row>
      <xdr:rowOff>114300</xdr:rowOff>
    </xdr:from>
    <xdr:to>
      <xdr:col>13</xdr:col>
      <xdr:colOff>251460</xdr:colOff>
      <xdr:row>21</xdr:row>
      <xdr:rowOff>68580</xdr:rowOff>
    </xdr:to>
    <xdr:graphicFrame macro="">
      <xdr:nvGraphicFramePr>
        <xdr:cNvPr id="3" name="Chart 2">
          <a:extLst>
            <a:ext uri="{FF2B5EF4-FFF2-40B4-BE49-F238E27FC236}">
              <a16:creationId xmlns:a16="http://schemas.microsoft.com/office/drawing/2014/main" id="{A84C890B-18DE-495C-A122-8D83267F511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342900</xdr:colOff>
      <xdr:row>5</xdr:row>
      <xdr:rowOff>129540</xdr:rowOff>
    </xdr:from>
    <xdr:to>
      <xdr:col>20</xdr:col>
      <xdr:colOff>449580</xdr:colOff>
      <xdr:row>21</xdr:row>
      <xdr:rowOff>60960</xdr:rowOff>
    </xdr:to>
    <xdr:graphicFrame macro="">
      <xdr:nvGraphicFramePr>
        <xdr:cNvPr id="5" name="Chart 4">
          <a:extLst>
            <a:ext uri="{FF2B5EF4-FFF2-40B4-BE49-F238E27FC236}">
              <a16:creationId xmlns:a16="http://schemas.microsoft.com/office/drawing/2014/main" id="{3367B7D5-1CF2-4043-8383-31368C64619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220980</xdr:colOff>
      <xdr:row>21</xdr:row>
      <xdr:rowOff>114300</xdr:rowOff>
    </xdr:from>
    <xdr:to>
      <xdr:col>13</xdr:col>
      <xdr:colOff>266700</xdr:colOff>
      <xdr:row>36</xdr:row>
      <xdr:rowOff>83820</xdr:rowOff>
    </xdr:to>
    <xdr:graphicFrame macro="">
      <xdr:nvGraphicFramePr>
        <xdr:cNvPr id="6" name="Chart 5">
          <a:extLst>
            <a:ext uri="{FF2B5EF4-FFF2-40B4-BE49-F238E27FC236}">
              <a16:creationId xmlns:a16="http://schemas.microsoft.com/office/drawing/2014/main" id="{DF5460AA-030B-4404-9CC9-3C6EB3D061F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45720</xdr:colOff>
      <xdr:row>6</xdr:row>
      <xdr:rowOff>30480</xdr:rowOff>
    </xdr:from>
    <xdr:to>
      <xdr:col>3</xdr:col>
      <xdr:colOff>45720</xdr:colOff>
      <xdr:row>19</xdr:row>
      <xdr:rowOff>89535</xdr:rowOff>
    </xdr:to>
    <mc:AlternateContent xmlns:mc="http://schemas.openxmlformats.org/markup-compatibility/2006" xmlns:a14="http://schemas.microsoft.com/office/drawing/2010/main">
      <mc:Choice Requires="a14">
        <xdr:graphicFrame macro="">
          <xdr:nvGraphicFramePr>
            <xdr:cNvPr id="12" name="Temprature 1">
              <a:extLst>
                <a:ext uri="{FF2B5EF4-FFF2-40B4-BE49-F238E27FC236}">
                  <a16:creationId xmlns:a16="http://schemas.microsoft.com/office/drawing/2014/main" id="{DC9E5183-338C-A46C-99A7-B03F4E9FD025}"/>
                </a:ext>
              </a:extLst>
            </xdr:cNvPr>
            <xdr:cNvGraphicFramePr/>
          </xdr:nvGraphicFramePr>
          <xdr:xfrm>
            <a:off x="0" y="0"/>
            <a:ext cx="0" cy="0"/>
          </xdr:xfrm>
          <a:graphic>
            <a:graphicData uri="http://schemas.microsoft.com/office/drawing/2010/slicer">
              <sle:slicer xmlns:sle="http://schemas.microsoft.com/office/drawing/2010/slicer" name="Temprature 1"/>
            </a:graphicData>
          </a:graphic>
        </xdr:graphicFrame>
      </mc:Choice>
      <mc:Fallback xmlns="">
        <xdr:sp macro="" textlink="">
          <xdr:nvSpPr>
            <xdr:cNvPr id="0" name=""/>
            <xdr:cNvSpPr>
              <a:spLocks noTextEdit="1"/>
            </xdr:cNvSpPr>
          </xdr:nvSpPr>
          <xdr:spPr>
            <a:xfrm>
              <a:off x="45720" y="1036320"/>
              <a:ext cx="1828800" cy="22383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30480</xdr:colOff>
      <xdr:row>19</xdr:row>
      <xdr:rowOff>129540</xdr:rowOff>
    </xdr:from>
    <xdr:to>
      <xdr:col>3</xdr:col>
      <xdr:colOff>30480</xdr:colOff>
      <xdr:row>33</xdr:row>
      <xdr:rowOff>20955</xdr:rowOff>
    </xdr:to>
    <mc:AlternateContent xmlns:mc="http://schemas.openxmlformats.org/markup-compatibility/2006" xmlns:a14="http://schemas.microsoft.com/office/drawing/2010/main">
      <mc:Choice Requires="a14">
        <xdr:graphicFrame macro="">
          <xdr:nvGraphicFramePr>
            <xdr:cNvPr id="13" name="Shifts 1">
              <a:extLst>
                <a:ext uri="{FF2B5EF4-FFF2-40B4-BE49-F238E27FC236}">
                  <a16:creationId xmlns:a16="http://schemas.microsoft.com/office/drawing/2014/main" id="{1D2A6B70-0821-E4D7-4C2A-2E91CD9D2B38}"/>
                </a:ext>
              </a:extLst>
            </xdr:cNvPr>
            <xdr:cNvGraphicFramePr/>
          </xdr:nvGraphicFramePr>
          <xdr:xfrm>
            <a:off x="0" y="0"/>
            <a:ext cx="0" cy="0"/>
          </xdr:xfrm>
          <a:graphic>
            <a:graphicData uri="http://schemas.microsoft.com/office/drawing/2010/slicer">
              <sle:slicer xmlns:sle="http://schemas.microsoft.com/office/drawing/2010/slicer" name="Shifts 1"/>
            </a:graphicData>
          </a:graphic>
        </xdr:graphicFrame>
      </mc:Choice>
      <mc:Fallback xmlns="">
        <xdr:sp macro="" textlink="">
          <xdr:nvSpPr>
            <xdr:cNvPr id="0" name=""/>
            <xdr:cNvSpPr>
              <a:spLocks noTextEdit="1"/>
            </xdr:cNvSpPr>
          </xdr:nvSpPr>
          <xdr:spPr>
            <a:xfrm>
              <a:off x="30480" y="3314700"/>
              <a:ext cx="1828800" cy="22383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68580</xdr:colOff>
      <xdr:row>19</xdr:row>
      <xdr:rowOff>129540</xdr:rowOff>
    </xdr:from>
    <xdr:to>
      <xdr:col>6</xdr:col>
      <xdr:colOff>68580</xdr:colOff>
      <xdr:row>33</xdr:row>
      <xdr:rowOff>20955</xdr:rowOff>
    </xdr:to>
    <mc:AlternateContent xmlns:mc="http://schemas.openxmlformats.org/markup-compatibility/2006" xmlns:a14="http://schemas.microsoft.com/office/drawing/2010/main">
      <mc:Choice Requires="a14">
        <xdr:graphicFrame macro="">
          <xdr:nvGraphicFramePr>
            <xdr:cNvPr id="17" name="Weather sit 1">
              <a:extLst>
                <a:ext uri="{FF2B5EF4-FFF2-40B4-BE49-F238E27FC236}">
                  <a16:creationId xmlns:a16="http://schemas.microsoft.com/office/drawing/2014/main" id="{5FE0AE5B-2E00-2556-4CB4-1890210741BF}"/>
                </a:ext>
              </a:extLst>
            </xdr:cNvPr>
            <xdr:cNvGraphicFramePr/>
          </xdr:nvGraphicFramePr>
          <xdr:xfrm>
            <a:off x="0" y="0"/>
            <a:ext cx="0" cy="0"/>
          </xdr:xfrm>
          <a:graphic>
            <a:graphicData uri="http://schemas.microsoft.com/office/drawing/2010/slicer">
              <sle:slicer xmlns:sle="http://schemas.microsoft.com/office/drawing/2010/slicer" name="Weather sit 1"/>
            </a:graphicData>
          </a:graphic>
        </xdr:graphicFrame>
      </mc:Choice>
      <mc:Fallback xmlns="">
        <xdr:sp macro="" textlink="">
          <xdr:nvSpPr>
            <xdr:cNvPr id="0" name=""/>
            <xdr:cNvSpPr>
              <a:spLocks noTextEdit="1"/>
            </xdr:cNvSpPr>
          </xdr:nvSpPr>
          <xdr:spPr>
            <a:xfrm>
              <a:off x="1897380" y="3314700"/>
              <a:ext cx="1828800" cy="22383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13</xdr:col>
      <xdr:colOff>358140</xdr:colOff>
      <xdr:row>21</xdr:row>
      <xdr:rowOff>129540</xdr:rowOff>
    </xdr:from>
    <xdr:to>
      <xdr:col>20</xdr:col>
      <xdr:colOff>480060</xdr:colOff>
      <xdr:row>35</xdr:row>
      <xdr:rowOff>129540</xdr:rowOff>
    </xdr:to>
    <xdr:graphicFrame macro="">
      <xdr:nvGraphicFramePr>
        <xdr:cNvPr id="18" name="Chart 17">
          <a:extLst>
            <a:ext uri="{FF2B5EF4-FFF2-40B4-BE49-F238E27FC236}">
              <a16:creationId xmlns:a16="http://schemas.microsoft.com/office/drawing/2014/main" id="{3E21A0FE-8009-4DF5-8E3D-3FD9E0A1E16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3</xdr:col>
      <xdr:colOff>106680</xdr:colOff>
      <xdr:row>6</xdr:row>
      <xdr:rowOff>30480</xdr:rowOff>
    </xdr:from>
    <xdr:to>
      <xdr:col>6</xdr:col>
      <xdr:colOff>106680</xdr:colOff>
      <xdr:row>19</xdr:row>
      <xdr:rowOff>89535</xdr:rowOff>
    </xdr:to>
    <mc:AlternateContent xmlns:mc="http://schemas.openxmlformats.org/markup-compatibility/2006" xmlns:a14="http://schemas.microsoft.com/office/drawing/2010/main">
      <mc:Choice Requires="a14">
        <xdr:graphicFrame macro="">
          <xdr:nvGraphicFramePr>
            <xdr:cNvPr id="19" name="Name of days">
              <a:extLst>
                <a:ext uri="{FF2B5EF4-FFF2-40B4-BE49-F238E27FC236}">
                  <a16:creationId xmlns:a16="http://schemas.microsoft.com/office/drawing/2014/main" id="{B76783D6-19E0-936D-8C0B-BC48F86A9B51}"/>
                </a:ext>
              </a:extLst>
            </xdr:cNvPr>
            <xdr:cNvGraphicFramePr/>
          </xdr:nvGraphicFramePr>
          <xdr:xfrm>
            <a:off x="0" y="0"/>
            <a:ext cx="0" cy="0"/>
          </xdr:xfrm>
          <a:graphic>
            <a:graphicData uri="http://schemas.microsoft.com/office/drawing/2010/slicer">
              <sle:slicer xmlns:sle="http://schemas.microsoft.com/office/drawing/2010/slicer" name="Name of days"/>
            </a:graphicData>
          </a:graphic>
        </xdr:graphicFrame>
      </mc:Choice>
      <mc:Fallback xmlns="">
        <xdr:sp macro="" textlink="">
          <xdr:nvSpPr>
            <xdr:cNvPr id="0" name=""/>
            <xdr:cNvSpPr>
              <a:spLocks noTextEdit="1"/>
            </xdr:cNvSpPr>
          </xdr:nvSpPr>
          <xdr:spPr>
            <a:xfrm>
              <a:off x="1935480" y="1036320"/>
              <a:ext cx="1828800" cy="22383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raveen" refreshedDate="46208.611627777776" createdVersion="8" refreshedVersion="8" minRefreshableVersion="3" recordCount="610" xr:uid="{E74FF18A-C4E7-4E92-B3E7-FCBDAEFFDF5E}">
  <cacheSource type="worksheet">
    <worksheetSource ref="F1:O611" sheet="dataset_1"/>
  </cacheSource>
  <cacheFields count="10">
    <cacheField name="Hour" numFmtId="0">
      <sharedItems containsSemiMixedTypes="0" containsString="0" containsNumber="1" containsInteger="1" minValue="0" maxValue="23" count="24">
        <n v="0"/>
        <n v="1"/>
        <n v="2"/>
        <n v="3"/>
        <n v="4"/>
        <n v="5"/>
        <n v="6"/>
        <n v="7"/>
        <n v="8"/>
        <n v="9"/>
        <n v="10"/>
        <n v="11"/>
        <n v="12"/>
        <n v="13"/>
        <n v="14"/>
        <n v="15"/>
        <n v="16"/>
        <n v="17"/>
        <n v="18"/>
        <n v="19"/>
        <n v="20"/>
        <n v="21"/>
        <n v="22"/>
        <n v="23"/>
      </sharedItems>
    </cacheField>
    <cacheField name="Shifts" numFmtId="0">
      <sharedItems count="4">
        <s v="Night"/>
        <s v="Morning"/>
        <s v="Afternoon"/>
        <s v="Evening"/>
      </sharedItems>
    </cacheField>
    <cacheField name="Holiday" numFmtId="0">
      <sharedItems count="2">
        <b v="0"/>
        <b v="1"/>
      </sharedItems>
    </cacheField>
    <cacheField name="W/H days" numFmtId="0">
      <sharedItems count="2">
        <s v="Working day"/>
        <s v="Holiday"/>
      </sharedItems>
    </cacheField>
    <cacheField name="Weekday" numFmtId="0">
      <sharedItems containsSemiMixedTypes="0" containsString="0" containsNumber="1" containsInteger="1" minValue="0" maxValue="6" count="7">
        <n v="6"/>
        <n v="0"/>
        <n v="1"/>
        <n v="2"/>
        <n v="3"/>
        <n v="4"/>
        <n v="5"/>
      </sharedItems>
    </cacheField>
    <cacheField name="Name of days" numFmtId="0">
      <sharedItems count="7">
        <s v="Friday"/>
        <s v="Saturday"/>
        <s v="Sunday"/>
        <s v="Monday"/>
        <s v="Tuesday"/>
        <s v="Wednesday"/>
        <s v="Thursday"/>
      </sharedItems>
    </cacheField>
    <cacheField name="Weat.Situ." numFmtId="0">
      <sharedItems containsSemiMixedTypes="0" containsString="0" containsNumber="1" containsInteger="1" minValue="1" maxValue="4" count="4">
        <n v="1"/>
        <n v="2"/>
        <n v="3"/>
        <n v="4"/>
      </sharedItems>
    </cacheField>
    <cacheField name="Weather sit" numFmtId="0">
      <sharedItems count="4">
        <s v="Nice weather"/>
        <s v="Mild Cloudy"/>
        <s v="Dark Cloudy"/>
        <s v="Thunderstrome"/>
      </sharedItems>
    </cacheField>
    <cacheField name="Temprature" numFmtId="0">
      <sharedItems containsSemiMixedTypes="0" containsString="0" containsNumber="1" minValue="0.02" maxValue="0.46" count="23">
        <n v="0.24"/>
        <n v="0.22"/>
        <n v="0.2"/>
        <n v="0.32"/>
        <n v="0.38"/>
        <n v="0.36"/>
        <n v="0.42"/>
        <n v="0.46"/>
        <n v="0.44"/>
        <n v="0.4"/>
        <n v="0.34"/>
        <n v="0.3"/>
        <n v="0.26"/>
        <n v="0.16"/>
        <n v="0.14000000000000001"/>
        <n v="0.18"/>
        <n v="0.12"/>
        <n v="0.28000000000000003"/>
        <n v="0.1"/>
        <n v="0.08"/>
        <n v="0.06"/>
        <n v="0.04"/>
        <n v="0.02"/>
      </sharedItems>
    </cacheField>
    <cacheField name="Tem in inte." numFmtId="0">
      <sharedItems containsSemiMixedTypes="0" containsString="0" containsNumber="1" minValue="2" maxValue="46" count="23">
        <n v="24"/>
        <n v="22"/>
        <n v="20"/>
        <n v="32"/>
        <n v="38"/>
        <n v="36"/>
        <n v="42"/>
        <n v="46"/>
        <n v="44"/>
        <n v="40"/>
        <n v="34"/>
        <n v="30"/>
        <n v="26"/>
        <n v="16"/>
        <n v="14.000000000000002"/>
        <n v="18"/>
        <n v="12"/>
        <n v="28.000000000000004"/>
        <n v="10"/>
        <n v="8"/>
        <n v="6"/>
        <n v="4"/>
        <n v="2"/>
      </sharedItems>
    </cacheField>
  </cacheFields>
  <extLst>
    <ext xmlns:x14="http://schemas.microsoft.com/office/spreadsheetml/2009/9/main" uri="{725AE2AE-9491-48be-B2B4-4EB974FC3084}">
      <x14:pivotCacheDefinition pivotCacheId="881454967"/>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raveen" refreshedDate="46208.688169791669" createdVersion="8" refreshedVersion="8" minRefreshableVersion="3" recordCount="610" xr:uid="{DD8A5F3F-880D-491D-81A2-DE9306A5AC17}">
  <cacheSource type="worksheet">
    <worksheetSource ref="A1:O611" sheet="dataset_1"/>
  </cacheSource>
  <cacheFields count="15">
    <cacheField name="Instant" numFmtId="0">
      <sharedItems containsSemiMixedTypes="0" containsString="0" containsNumber="1" containsInteger="1" minValue="1" maxValue="610"/>
    </cacheField>
    <cacheField name="Date Day" numFmtId="164">
      <sharedItems containsSemiMixedTypes="0" containsNonDate="0" containsDate="1" containsString="0" minDate="2011-01-01T00:00:00" maxDate="2011-01-29T00:00:00"/>
    </cacheField>
    <cacheField name="Season" numFmtId="0">
      <sharedItems containsSemiMixedTypes="0" containsString="0" containsNumber="1" containsInteger="1" minValue="1" maxValue="1"/>
    </cacheField>
    <cacheField name="Year" numFmtId="0">
      <sharedItems containsSemiMixedTypes="0" containsString="0" containsNumber="1" containsInteger="1" minValue="2011" maxValue="2011"/>
    </cacheField>
    <cacheField name="Month" numFmtId="0">
      <sharedItems containsSemiMixedTypes="0" containsString="0" containsNumber="1" containsInteger="1" minValue="1" maxValue="1"/>
    </cacheField>
    <cacheField name="Hour" numFmtId="0">
      <sharedItems containsSemiMixedTypes="0" containsString="0" containsNumber="1" containsInteger="1" minValue="0" maxValue="23"/>
    </cacheField>
    <cacheField name="Shifts" numFmtId="0">
      <sharedItems/>
    </cacheField>
    <cacheField name="Holiday" numFmtId="0">
      <sharedItems/>
    </cacheField>
    <cacheField name="W/H days" numFmtId="0">
      <sharedItems/>
    </cacheField>
    <cacheField name="Weekday" numFmtId="0">
      <sharedItems containsSemiMixedTypes="0" containsString="0" containsNumber="1" containsInteger="1" minValue="0" maxValue="6"/>
    </cacheField>
    <cacheField name="Name of days" numFmtId="0">
      <sharedItems count="7">
        <s v="Friday"/>
        <s v="Saturday"/>
        <s v="Sunday"/>
        <s v="Monday"/>
        <s v="Tuesday"/>
        <s v="Wednesday"/>
        <s v="Thursday"/>
      </sharedItems>
    </cacheField>
    <cacheField name="Weat.Situ." numFmtId="0">
      <sharedItems containsSemiMixedTypes="0" containsString="0" containsNumber="1" containsInteger="1" minValue="1" maxValue="4"/>
    </cacheField>
    <cacheField name="Weather sit" numFmtId="0">
      <sharedItems count="4">
        <s v="Nice weather"/>
        <s v="Mild Cloudy"/>
        <s v="Dark Cloudy"/>
        <s v="Thunderstrome"/>
      </sharedItems>
    </cacheField>
    <cacheField name="Temprature" numFmtId="0">
      <sharedItems containsSemiMixedTypes="0" containsString="0" containsNumber="1" minValue="0.02" maxValue="0.46"/>
    </cacheField>
    <cacheField name="Tem in inte." numFmtId="0">
      <sharedItems containsSemiMixedTypes="0" containsString="0" containsNumber="1" minValue="2" maxValue="46"/>
    </cacheField>
  </cacheFields>
  <extLst>
    <ext xmlns:x14="http://schemas.microsoft.com/office/spreadsheetml/2009/9/main" uri="{725AE2AE-9491-48be-B2B4-4EB974FC3084}">
      <x14:pivotCacheDefinition pivotCacheId="100630126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10">
  <r>
    <x v="0"/>
    <x v="0"/>
    <x v="0"/>
    <x v="0"/>
    <x v="0"/>
    <x v="0"/>
    <x v="0"/>
    <x v="0"/>
    <x v="0"/>
    <x v="0"/>
  </r>
  <r>
    <x v="1"/>
    <x v="0"/>
    <x v="0"/>
    <x v="0"/>
    <x v="0"/>
    <x v="0"/>
    <x v="0"/>
    <x v="0"/>
    <x v="1"/>
    <x v="1"/>
  </r>
  <r>
    <x v="2"/>
    <x v="0"/>
    <x v="0"/>
    <x v="0"/>
    <x v="0"/>
    <x v="0"/>
    <x v="0"/>
    <x v="0"/>
    <x v="1"/>
    <x v="1"/>
  </r>
  <r>
    <x v="3"/>
    <x v="0"/>
    <x v="0"/>
    <x v="0"/>
    <x v="0"/>
    <x v="0"/>
    <x v="0"/>
    <x v="0"/>
    <x v="0"/>
    <x v="0"/>
  </r>
  <r>
    <x v="4"/>
    <x v="0"/>
    <x v="0"/>
    <x v="0"/>
    <x v="0"/>
    <x v="0"/>
    <x v="0"/>
    <x v="0"/>
    <x v="0"/>
    <x v="0"/>
  </r>
  <r>
    <x v="5"/>
    <x v="0"/>
    <x v="0"/>
    <x v="0"/>
    <x v="0"/>
    <x v="0"/>
    <x v="1"/>
    <x v="1"/>
    <x v="0"/>
    <x v="0"/>
  </r>
  <r>
    <x v="6"/>
    <x v="1"/>
    <x v="0"/>
    <x v="0"/>
    <x v="0"/>
    <x v="0"/>
    <x v="0"/>
    <x v="0"/>
    <x v="1"/>
    <x v="1"/>
  </r>
  <r>
    <x v="7"/>
    <x v="1"/>
    <x v="0"/>
    <x v="0"/>
    <x v="0"/>
    <x v="0"/>
    <x v="0"/>
    <x v="0"/>
    <x v="2"/>
    <x v="2"/>
  </r>
  <r>
    <x v="8"/>
    <x v="1"/>
    <x v="0"/>
    <x v="0"/>
    <x v="0"/>
    <x v="0"/>
    <x v="0"/>
    <x v="0"/>
    <x v="0"/>
    <x v="0"/>
  </r>
  <r>
    <x v="9"/>
    <x v="1"/>
    <x v="0"/>
    <x v="0"/>
    <x v="0"/>
    <x v="0"/>
    <x v="0"/>
    <x v="0"/>
    <x v="3"/>
    <x v="3"/>
  </r>
  <r>
    <x v="10"/>
    <x v="1"/>
    <x v="0"/>
    <x v="0"/>
    <x v="0"/>
    <x v="0"/>
    <x v="0"/>
    <x v="0"/>
    <x v="4"/>
    <x v="4"/>
  </r>
  <r>
    <x v="11"/>
    <x v="1"/>
    <x v="0"/>
    <x v="0"/>
    <x v="0"/>
    <x v="0"/>
    <x v="0"/>
    <x v="0"/>
    <x v="5"/>
    <x v="5"/>
  </r>
  <r>
    <x v="12"/>
    <x v="2"/>
    <x v="0"/>
    <x v="0"/>
    <x v="0"/>
    <x v="0"/>
    <x v="0"/>
    <x v="0"/>
    <x v="6"/>
    <x v="6"/>
  </r>
  <r>
    <x v="13"/>
    <x v="2"/>
    <x v="0"/>
    <x v="0"/>
    <x v="0"/>
    <x v="0"/>
    <x v="1"/>
    <x v="1"/>
    <x v="7"/>
    <x v="7"/>
  </r>
  <r>
    <x v="14"/>
    <x v="2"/>
    <x v="0"/>
    <x v="0"/>
    <x v="0"/>
    <x v="0"/>
    <x v="1"/>
    <x v="1"/>
    <x v="7"/>
    <x v="7"/>
  </r>
  <r>
    <x v="15"/>
    <x v="2"/>
    <x v="0"/>
    <x v="0"/>
    <x v="0"/>
    <x v="0"/>
    <x v="1"/>
    <x v="1"/>
    <x v="8"/>
    <x v="8"/>
  </r>
  <r>
    <x v="16"/>
    <x v="2"/>
    <x v="0"/>
    <x v="0"/>
    <x v="0"/>
    <x v="0"/>
    <x v="1"/>
    <x v="1"/>
    <x v="6"/>
    <x v="6"/>
  </r>
  <r>
    <x v="17"/>
    <x v="2"/>
    <x v="0"/>
    <x v="0"/>
    <x v="0"/>
    <x v="0"/>
    <x v="1"/>
    <x v="1"/>
    <x v="8"/>
    <x v="8"/>
  </r>
  <r>
    <x v="18"/>
    <x v="3"/>
    <x v="0"/>
    <x v="0"/>
    <x v="0"/>
    <x v="0"/>
    <x v="2"/>
    <x v="2"/>
    <x v="6"/>
    <x v="6"/>
  </r>
  <r>
    <x v="19"/>
    <x v="3"/>
    <x v="0"/>
    <x v="0"/>
    <x v="0"/>
    <x v="0"/>
    <x v="2"/>
    <x v="2"/>
    <x v="6"/>
    <x v="6"/>
  </r>
  <r>
    <x v="20"/>
    <x v="3"/>
    <x v="0"/>
    <x v="0"/>
    <x v="0"/>
    <x v="0"/>
    <x v="1"/>
    <x v="1"/>
    <x v="9"/>
    <x v="9"/>
  </r>
  <r>
    <x v="21"/>
    <x v="3"/>
    <x v="0"/>
    <x v="0"/>
    <x v="0"/>
    <x v="0"/>
    <x v="1"/>
    <x v="1"/>
    <x v="9"/>
    <x v="9"/>
  </r>
  <r>
    <x v="22"/>
    <x v="3"/>
    <x v="0"/>
    <x v="0"/>
    <x v="0"/>
    <x v="0"/>
    <x v="1"/>
    <x v="1"/>
    <x v="9"/>
    <x v="9"/>
  </r>
  <r>
    <x v="23"/>
    <x v="3"/>
    <x v="0"/>
    <x v="0"/>
    <x v="0"/>
    <x v="0"/>
    <x v="1"/>
    <x v="1"/>
    <x v="7"/>
    <x v="7"/>
  </r>
  <r>
    <x v="0"/>
    <x v="0"/>
    <x v="0"/>
    <x v="0"/>
    <x v="1"/>
    <x v="1"/>
    <x v="1"/>
    <x v="1"/>
    <x v="7"/>
    <x v="7"/>
  </r>
  <r>
    <x v="1"/>
    <x v="0"/>
    <x v="0"/>
    <x v="0"/>
    <x v="1"/>
    <x v="1"/>
    <x v="1"/>
    <x v="1"/>
    <x v="8"/>
    <x v="8"/>
  </r>
  <r>
    <x v="2"/>
    <x v="0"/>
    <x v="0"/>
    <x v="0"/>
    <x v="1"/>
    <x v="1"/>
    <x v="1"/>
    <x v="1"/>
    <x v="6"/>
    <x v="6"/>
  </r>
  <r>
    <x v="3"/>
    <x v="0"/>
    <x v="0"/>
    <x v="0"/>
    <x v="1"/>
    <x v="1"/>
    <x v="1"/>
    <x v="1"/>
    <x v="7"/>
    <x v="7"/>
  </r>
  <r>
    <x v="4"/>
    <x v="0"/>
    <x v="0"/>
    <x v="0"/>
    <x v="1"/>
    <x v="1"/>
    <x v="1"/>
    <x v="1"/>
    <x v="7"/>
    <x v="7"/>
  </r>
  <r>
    <x v="6"/>
    <x v="1"/>
    <x v="0"/>
    <x v="0"/>
    <x v="1"/>
    <x v="1"/>
    <x v="2"/>
    <x v="2"/>
    <x v="6"/>
    <x v="6"/>
  </r>
  <r>
    <x v="7"/>
    <x v="1"/>
    <x v="0"/>
    <x v="0"/>
    <x v="1"/>
    <x v="1"/>
    <x v="1"/>
    <x v="1"/>
    <x v="9"/>
    <x v="9"/>
  </r>
  <r>
    <x v="8"/>
    <x v="1"/>
    <x v="0"/>
    <x v="0"/>
    <x v="1"/>
    <x v="1"/>
    <x v="2"/>
    <x v="2"/>
    <x v="9"/>
    <x v="9"/>
  </r>
  <r>
    <x v="9"/>
    <x v="1"/>
    <x v="0"/>
    <x v="0"/>
    <x v="1"/>
    <x v="1"/>
    <x v="1"/>
    <x v="1"/>
    <x v="4"/>
    <x v="4"/>
  </r>
  <r>
    <x v="10"/>
    <x v="1"/>
    <x v="0"/>
    <x v="0"/>
    <x v="1"/>
    <x v="1"/>
    <x v="1"/>
    <x v="1"/>
    <x v="5"/>
    <x v="5"/>
  </r>
  <r>
    <x v="11"/>
    <x v="1"/>
    <x v="0"/>
    <x v="0"/>
    <x v="1"/>
    <x v="1"/>
    <x v="1"/>
    <x v="1"/>
    <x v="5"/>
    <x v="5"/>
  </r>
  <r>
    <x v="12"/>
    <x v="2"/>
    <x v="0"/>
    <x v="0"/>
    <x v="1"/>
    <x v="1"/>
    <x v="1"/>
    <x v="1"/>
    <x v="5"/>
    <x v="5"/>
  </r>
  <r>
    <x v="13"/>
    <x v="2"/>
    <x v="0"/>
    <x v="0"/>
    <x v="1"/>
    <x v="1"/>
    <x v="1"/>
    <x v="1"/>
    <x v="5"/>
    <x v="5"/>
  </r>
  <r>
    <x v="14"/>
    <x v="2"/>
    <x v="0"/>
    <x v="0"/>
    <x v="1"/>
    <x v="1"/>
    <x v="2"/>
    <x v="2"/>
    <x v="5"/>
    <x v="5"/>
  </r>
  <r>
    <x v="15"/>
    <x v="2"/>
    <x v="0"/>
    <x v="0"/>
    <x v="1"/>
    <x v="1"/>
    <x v="2"/>
    <x v="2"/>
    <x v="10"/>
    <x v="10"/>
  </r>
  <r>
    <x v="16"/>
    <x v="2"/>
    <x v="0"/>
    <x v="0"/>
    <x v="1"/>
    <x v="1"/>
    <x v="2"/>
    <x v="2"/>
    <x v="10"/>
    <x v="10"/>
  </r>
  <r>
    <x v="17"/>
    <x v="2"/>
    <x v="0"/>
    <x v="0"/>
    <x v="1"/>
    <x v="1"/>
    <x v="0"/>
    <x v="0"/>
    <x v="10"/>
    <x v="10"/>
  </r>
  <r>
    <x v="18"/>
    <x v="3"/>
    <x v="0"/>
    <x v="0"/>
    <x v="1"/>
    <x v="1"/>
    <x v="1"/>
    <x v="1"/>
    <x v="5"/>
    <x v="5"/>
  </r>
  <r>
    <x v="19"/>
    <x v="3"/>
    <x v="0"/>
    <x v="0"/>
    <x v="1"/>
    <x v="1"/>
    <x v="0"/>
    <x v="0"/>
    <x v="3"/>
    <x v="3"/>
  </r>
  <r>
    <x v="20"/>
    <x v="3"/>
    <x v="0"/>
    <x v="0"/>
    <x v="1"/>
    <x v="1"/>
    <x v="0"/>
    <x v="0"/>
    <x v="11"/>
    <x v="11"/>
  </r>
  <r>
    <x v="21"/>
    <x v="3"/>
    <x v="0"/>
    <x v="0"/>
    <x v="1"/>
    <x v="1"/>
    <x v="0"/>
    <x v="0"/>
    <x v="12"/>
    <x v="12"/>
  </r>
  <r>
    <x v="22"/>
    <x v="3"/>
    <x v="0"/>
    <x v="0"/>
    <x v="1"/>
    <x v="1"/>
    <x v="0"/>
    <x v="0"/>
    <x v="0"/>
    <x v="0"/>
  </r>
  <r>
    <x v="23"/>
    <x v="3"/>
    <x v="0"/>
    <x v="0"/>
    <x v="1"/>
    <x v="1"/>
    <x v="0"/>
    <x v="0"/>
    <x v="1"/>
    <x v="1"/>
  </r>
  <r>
    <x v="0"/>
    <x v="0"/>
    <x v="0"/>
    <x v="0"/>
    <x v="2"/>
    <x v="2"/>
    <x v="0"/>
    <x v="0"/>
    <x v="1"/>
    <x v="1"/>
  </r>
  <r>
    <x v="1"/>
    <x v="0"/>
    <x v="0"/>
    <x v="0"/>
    <x v="2"/>
    <x v="2"/>
    <x v="0"/>
    <x v="0"/>
    <x v="2"/>
    <x v="2"/>
  </r>
  <r>
    <x v="4"/>
    <x v="0"/>
    <x v="0"/>
    <x v="0"/>
    <x v="2"/>
    <x v="2"/>
    <x v="0"/>
    <x v="0"/>
    <x v="13"/>
    <x v="13"/>
  </r>
  <r>
    <x v="5"/>
    <x v="0"/>
    <x v="0"/>
    <x v="0"/>
    <x v="2"/>
    <x v="2"/>
    <x v="0"/>
    <x v="0"/>
    <x v="13"/>
    <x v="13"/>
  </r>
  <r>
    <x v="6"/>
    <x v="1"/>
    <x v="0"/>
    <x v="0"/>
    <x v="2"/>
    <x v="2"/>
    <x v="0"/>
    <x v="0"/>
    <x v="14"/>
    <x v="14"/>
  </r>
  <r>
    <x v="7"/>
    <x v="1"/>
    <x v="0"/>
    <x v="0"/>
    <x v="2"/>
    <x v="2"/>
    <x v="0"/>
    <x v="0"/>
    <x v="14"/>
    <x v="14"/>
  </r>
  <r>
    <x v="8"/>
    <x v="1"/>
    <x v="0"/>
    <x v="0"/>
    <x v="2"/>
    <x v="2"/>
    <x v="0"/>
    <x v="0"/>
    <x v="14"/>
    <x v="14"/>
  </r>
  <r>
    <x v="9"/>
    <x v="1"/>
    <x v="0"/>
    <x v="0"/>
    <x v="2"/>
    <x v="2"/>
    <x v="0"/>
    <x v="0"/>
    <x v="13"/>
    <x v="13"/>
  </r>
  <r>
    <x v="10"/>
    <x v="1"/>
    <x v="0"/>
    <x v="0"/>
    <x v="2"/>
    <x v="2"/>
    <x v="0"/>
    <x v="0"/>
    <x v="15"/>
    <x v="15"/>
  </r>
  <r>
    <x v="11"/>
    <x v="1"/>
    <x v="0"/>
    <x v="0"/>
    <x v="2"/>
    <x v="2"/>
    <x v="0"/>
    <x v="0"/>
    <x v="2"/>
    <x v="2"/>
  </r>
  <r>
    <x v="12"/>
    <x v="2"/>
    <x v="0"/>
    <x v="0"/>
    <x v="2"/>
    <x v="2"/>
    <x v="0"/>
    <x v="0"/>
    <x v="1"/>
    <x v="1"/>
  </r>
  <r>
    <x v="13"/>
    <x v="2"/>
    <x v="0"/>
    <x v="0"/>
    <x v="2"/>
    <x v="2"/>
    <x v="0"/>
    <x v="0"/>
    <x v="0"/>
    <x v="0"/>
  </r>
  <r>
    <x v="14"/>
    <x v="2"/>
    <x v="0"/>
    <x v="0"/>
    <x v="2"/>
    <x v="2"/>
    <x v="0"/>
    <x v="0"/>
    <x v="12"/>
    <x v="12"/>
  </r>
  <r>
    <x v="15"/>
    <x v="2"/>
    <x v="0"/>
    <x v="0"/>
    <x v="2"/>
    <x v="2"/>
    <x v="0"/>
    <x v="0"/>
    <x v="12"/>
    <x v="12"/>
  </r>
  <r>
    <x v="16"/>
    <x v="2"/>
    <x v="0"/>
    <x v="0"/>
    <x v="2"/>
    <x v="2"/>
    <x v="0"/>
    <x v="0"/>
    <x v="12"/>
    <x v="12"/>
  </r>
  <r>
    <x v="17"/>
    <x v="2"/>
    <x v="0"/>
    <x v="0"/>
    <x v="2"/>
    <x v="2"/>
    <x v="0"/>
    <x v="0"/>
    <x v="0"/>
    <x v="0"/>
  </r>
  <r>
    <x v="18"/>
    <x v="3"/>
    <x v="0"/>
    <x v="0"/>
    <x v="2"/>
    <x v="2"/>
    <x v="0"/>
    <x v="0"/>
    <x v="0"/>
    <x v="0"/>
  </r>
  <r>
    <x v="19"/>
    <x v="3"/>
    <x v="0"/>
    <x v="0"/>
    <x v="2"/>
    <x v="2"/>
    <x v="0"/>
    <x v="0"/>
    <x v="2"/>
    <x v="2"/>
  </r>
  <r>
    <x v="20"/>
    <x v="3"/>
    <x v="0"/>
    <x v="0"/>
    <x v="2"/>
    <x v="2"/>
    <x v="0"/>
    <x v="0"/>
    <x v="2"/>
    <x v="2"/>
  </r>
  <r>
    <x v="21"/>
    <x v="3"/>
    <x v="0"/>
    <x v="0"/>
    <x v="2"/>
    <x v="2"/>
    <x v="0"/>
    <x v="0"/>
    <x v="15"/>
    <x v="15"/>
  </r>
  <r>
    <x v="22"/>
    <x v="3"/>
    <x v="0"/>
    <x v="0"/>
    <x v="2"/>
    <x v="2"/>
    <x v="0"/>
    <x v="0"/>
    <x v="14"/>
    <x v="14"/>
  </r>
  <r>
    <x v="23"/>
    <x v="3"/>
    <x v="0"/>
    <x v="0"/>
    <x v="2"/>
    <x v="2"/>
    <x v="0"/>
    <x v="0"/>
    <x v="15"/>
    <x v="15"/>
  </r>
  <r>
    <x v="0"/>
    <x v="0"/>
    <x v="0"/>
    <x v="0"/>
    <x v="3"/>
    <x v="3"/>
    <x v="0"/>
    <x v="0"/>
    <x v="13"/>
    <x v="13"/>
  </r>
  <r>
    <x v="1"/>
    <x v="0"/>
    <x v="0"/>
    <x v="0"/>
    <x v="3"/>
    <x v="3"/>
    <x v="0"/>
    <x v="0"/>
    <x v="13"/>
    <x v="13"/>
  </r>
  <r>
    <x v="2"/>
    <x v="0"/>
    <x v="0"/>
    <x v="0"/>
    <x v="3"/>
    <x v="3"/>
    <x v="0"/>
    <x v="0"/>
    <x v="14"/>
    <x v="14"/>
  </r>
  <r>
    <x v="4"/>
    <x v="0"/>
    <x v="0"/>
    <x v="0"/>
    <x v="3"/>
    <x v="3"/>
    <x v="0"/>
    <x v="0"/>
    <x v="14"/>
    <x v="14"/>
  </r>
  <r>
    <x v="5"/>
    <x v="0"/>
    <x v="0"/>
    <x v="0"/>
    <x v="3"/>
    <x v="3"/>
    <x v="0"/>
    <x v="0"/>
    <x v="16"/>
    <x v="16"/>
  </r>
  <r>
    <x v="6"/>
    <x v="1"/>
    <x v="0"/>
    <x v="0"/>
    <x v="3"/>
    <x v="3"/>
    <x v="0"/>
    <x v="0"/>
    <x v="16"/>
    <x v="16"/>
  </r>
  <r>
    <x v="7"/>
    <x v="1"/>
    <x v="0"/>
    <x v="0"/>
    <x v="3"/>
    <x v="3"/>
    <x v="0"/>
    <x v="0"/>
    <x v="16"/>
    <x v="16"/>
  </r>
  <r>
    <x v="8"/>
    <x v="1"/>
    <x v="0"/>
    <x v="0"/>
    <x v="3"/>
    <x v="3"/>
    <x v="0"/>
    <x v="0"/>
    <x v="14"/>
    <x v="14"/>
  </r>
  <r>
    <x v="9"/>
    <x v="1"/>
    <x v="0"/>
    <x v="0"/>
    <x v="3"/>
    <x v="3"/>
    <x v="0"/>
    <x v="0"/>
    <x v="13"/>
    <x v="13"/>
  </r>
  <r>
    <x v="10"/>
    <x v="1"/>
    <x v="0"/>
    <x v="0"/>
    <x v="3"/>
    <x v="3"/>
    <x v="1"/>
    <x v="1"/>
    <x v="13"/>
    <x v="13"/>
  </r>
  <r>
    <x v="11"/>
    <x v="1"/>
    <x v="0"/>
    <x v="0"/>
    <x v="3"/>
    <x v="3"/>
    <x v="0"/>
    <x v="0"/>
    <x v="1"/>
    <x v="1"/>
  </r>
  <r>
    <x v="12"/>
    <x v="2"/>
    <x v="0"/>
    <x v="0"/>
    <x v="3"/>
    <x v="3"/>
    <x v="0"/>
    <x v="0"/>
    <x v="1"/>
    <x v="1"/>
  </r>
  <r>
    <x v="13"/>
    <x v="2"/>
    <x v="0"/>
    <x v="0"/>
    <x v="3"/>
    <x v="3"/>
    <x v="0"/>
    <x v="0"/>
    <x v="0"/>
    <x v="0"/>
  </r>
  <r>
    <x v="14"/>
    <x v="2"/>
    <x v="0"/>
    <x v="0"/>
    <x v="3"/>
    <x v="3"/>
    <x v="0"/>
    <x v="0"/>
    <x v="12"/>
    <x v="12"/>
  </r>
  <r>
    <x v="15"/>
    <x v="2"/>
    <x v="0"/>
    <x v="0"/>
    <x v="3"/>
    <x v="3"/>
    <x v="0"/>
    <x v="0"/>
    <x v="17"/>
    <x v="17"/>
  </r>
  <r>
    <x v="16"/>
    <x v="2"/>
    <x v="0"/>
    <x v="0"/>
    <x v="3"/>
    <x v="3"/>
    <x v="0"/>
    <x v="0"/>
    <x v="11"/>
    <x v="11"/>
  </r>
  <r>
    <x v="17"/>
    <x v="2"/>
    <x v="0"/>
    <x v="0"/>
    <x v="3"/>
    <x v="3"/>
    <x v="0"/>
    <x v="0"/>
    <x v="17"/>
    <x v="17"/>
  </r>
  <r>
    <x v="18"/>
    <x v="3"/>
    <x v="0"/>
    <x v="0"/>
    <x v="3"/>
    <x v="3"/>
    <x v="0"/>
    <x v="0"/>
    <x v="12"/>
    <x v="12"/>
  </r>
  <r>
    <x v="19"/>
    <x v="3"/>
    <x v="0"/>
    <x v="0"/>
    <x v="3"/>
    <x v="3"/>
    <x v="0"/>
    <x v="0"/>
    <x v="0"/>
    <x v="0"/>
  </r>
  <r>
    <x v="20"/>
    <x v="3"/>
    <x v="0"/>
    <x v="0"/>
    <x v="3"/>
    <x v="3"/>
    <x v="0"/>
    <x v="0"/>
    <x v="0"/>
    <x v="0"/>
  </r>
  <r>
    <x v="21"/>
    <x v="3"/>
    <x v="0"/>
    <x v="0"/>
    <x v="3"/>
    <x v="3"/>
    <x v="0"/>
    <x v="0"/>
    <x v="1"/>
    <x v="1"/>
  </r>
  <r>
    <x v="22"/>
    <x v="3"/>
    <x v="0"/>
    <x v="0"/>
    <x v="3"/>
    <x v="3"/>
    <x v="0"/>
    <x v="0"/>
    <x v="1"/>
    <x v="1"/>
  </r>
  <r>
    <x v="23"/>
    <x v="3"/>
    <x v="0"/>
    <x v="0"/>
    <x v="3"/>
    <x v="3"/>
    <x v="0"/>
    <x v="0"/>
    <x v="2"/>
    <x v="2"/>
  </r>
  <r>
    <x v="0"/>
    <x v="0"/>
    <x v="0"/>
    <x v="0"/>
    <x v="4"/>
    <x v="4"/>
    <x v="0"/>
    <x v="0"/>
    <x v="2"/>
    <x v="2"/>
  </r>
  <r>
    <x v="1"/>
    <x v="0"/>
    <x v="0"/>
    <x v="0"/>
    <x v="4"/>
    <x v="4"/>
    <x v="0"/>
    <x v="0"/>
    <x v="13"/>
    <x v="13"/>
  </r>
  <r>
    <x v="2"/>
    <x v="0"/>
    <x v="0"/>
    <x v="0"/>
    <x v="4"/>
    <x v="4"/>
    <x v="0"/>
    <x v="0"/>
    <x v="13"/>
    <x v="13"/>
  </r>
  <r>
    <x v="4"/>
    <x v="0"/>
    <x v="0"/>
    <x v="0"/>
    <x v="4"/>
    <x v="4"/>
    <x v="0"/>
    <x v="0"/>
    <x v="0"/>
    <x v="0"/>
  </r>
  <r>
    <x v="5"/>
    <x v="0"/>
    <x v="0"/>
    <x v="0"/>
    <x v="4"/>
    <x v="4"/>
    <x v="0"/>
    <x v="0"/>
    <x v="1"/>
    <x v="1"/>
  </r>
  <r>
    <x v="6"/>
    <x v="1"/>
    <x v="0"/>
    <x v="0"/>
    <x v="4"/>
    <x v="4"/>
    <x v="0"/>
    <x v="0"/>
    <x v="2"/>
    <x v="2"/>
  </r>
  <r>
    <x v="7"/>
    <x v="1"/>
    <x v="0"/>
    <x v="0"/>
    <x v="4"/>
    <x v="4"/>
    <x v="0"/>
    <x v="0"/>
    <x v="15"/>
    <x v="15"/>
  </r>
  <r>
    <x v="8"/>
    <x v="1"/>
    <x v="0"/>
    <x v="0"/>
    <x v="4"/>
    <x v="4"/>
    <x v="0"/>
    <x v="0"/>
    <x v="2"/>
    <x v="2"/>
  </r>
  <r>
    <x v="9"/>
    <x v="1"/>
    <x v="0"/>
    <x v="0"/>
    <x v="4"/>
    <x v="4"/>
    <x v="0"/>
    <x v="0"/>
    <x v="1"/>
    <x v="1"/>
  </r>
  <r>
    <x v="10"/>
    <x v="1"/>
    <x v="0"/>
    <x v="0"/>
    <x v="4"/>
    <x v="4"/>
    <x v="0"/>
    <x v="0"/>
    <x v="1"/>
    <x v="1"/>
  </r>
  <r>
    <x v="11"/>
    <x v="1"/>
    <x v="0"/>
    <x v="0"/>
    <x v="4"/>
    <x v="4"/>
    <x v="0"/>
    <x v="0"/>
    <x v="12"/>
    <x v="12"/>
  </r>
  <r>
    <x v="12"/>
    <x v="2"/>
    <x v="0"/>
    <x v="0"/>
    <x v="4"/>
    <x v="4"/>
    <x v="0"/>
    <x v="0"/>
    <x v="12"/>
    <x v="12"/>
  </r>
  <r>
    <x v="13"/>
    <x v="2"/>
    <x v="0"/>
    <x v="0"/>
    <x v="4"/>
    <x v="4"/>
    <x v="0"/>
    <x v="0"/>
    <x v="17"/>
    <x v="17"/>
  </r>
  <r>
    <x v="14"/>
    <x v="2"/>
    <x v="0"/>
    <x v="0"/>
    <x v="4"/>
    <x v="4"/>
    <x v="0"/>
    <x v="0"/>
    <x v="11"/>
    <x v="11"/>
  </r>
  <r>
    <x v="15"/>
    <x v="2"/>
    <x v="0"/>
    <x v="0"/>
    <x v="4"/>
    <x v="4"/>
    <x v="0"/>
    <x v="0"/>
    <x v="11"/>
    <x v="11"/>
  </r>
  <r>
    <x v="16"/>
    <x v="2"/>
    <x v="0"/>
    <x v="0"/>
    <x v="4"/>
    <x v="4"/>
    <x v="0"/>
    <x v="0"/>
    <x v="11"/>
    <x v="11"/>
  </r>
  <r>
    <x v="17"/>
    <x v="2"/>
    <x v="0"/>
    <x v="0"/>
    <x v="4"/>
    <x v="4"/>
    <x v="0"/>
    <x v="0"/>
    <x v="0"/>
    <x v="0"/>
  </r>
  <r>
    <x v="18"/>
    <x v="3"/>
    <x v="0"/>
    <x v="0"/>
    <x v="4"/>
    <x v="4"/>
    <x v="0"/>
    <x v="0"/>
    <x v="0"/>
    <x v="0"/>
  </r>
  <r>
    <x v="19"/>
    <x v="3"/>
    <x v="0"/>
    <x v="0"/>
    <x v="4"/>
    <x v="4"/>
    <x v="0"/>
    <x v="0"/>
    <x v="0"/>
    <x v="0"/>
  </r>
  <r>
    <x v="20"/>
    <x v="3"/>
    <x v="0"/>
    <x v="0"/>
    <x v="4"/>
    <x v="4"/>
    <x v="0"/>
    <x v="0"/>
    <x v="1"/>
    <x v="1"/>
  </r>
  <r>
    <x v="21"/>
    <x v="3"/>
    <x v="0"/>
    <x v="0"/>
    <x v="4"/>
    <x v="4"/>
    <x v="0"/>
    <x v="0"/>
    <x v="2"/>
    <x v="2"/>
  </r>
  <r>
    <x v="22"/>
    <x v="3"/>
    <x v="0"/>
    <x v="0"/>
    <x v="4"/>
    <x v="4"/>
    <x v="0"/>
    <x v="0"/>
    <x v="15"/>
    <x v="15"/>
  </r>
  <r>
    <x v="23"/>
    <x v="3"/>
    <x v="0"/>
    <x v="0"/>
    <x v="4"/>
    <x v="4"/>
    <x v="0"/>
    <x v="0"/>
    <x v="2"/>
    <x v="2"/>
  </r>
  <r>
    <x v="0"/>
    <x v="0"/>
    <x v="0"/>
    <x v="0"/>
    <x v="5"/>
    <x v="5"/>
    <x v="0"/>
    <x v="0"/>
    <x v="15"/>
    <x v="15"/>
  </r>
  <r>
    <x v="1"/>
    <x v="0"/>
    <x v="0"/>
    <x v="0"/>
    <x v="5"/>
    <x v="5"/>
    <x v="0"/>
    <x v="0"/>
    <x v="13"/>
    <x v="13"/>
  </r>
  <r>
    <x v="2"/>
    <x v="0"/>
    <x v="0"/>
    <x v="0"/>
    <x v="5"/>
    <x v="5"/>
    <x v="0"/>
    <x v="0"/>
    <x v="13"/>
    <x v="13"/>
  </r>
  <r>
    <x v="4"/>
    <x v="0"/>
    <x v="0"/>
    <x v="0"/>
    <x v="5"/>
    <x v="5"/>
    <x v="1"/>
    <x v="1"/>
    <x v="13"/>
    <x v="13"/>
  </r>
  <r>
    <x v="5"/>
    <x v="0"/>
    <x v="0"/>
    <x v="0"/>
    <x v="5"/>
    <x v="5"/>
    <x v="1"/>
    <x v="1"/>
    <x v="14"/>
    <x v="14"/>
  </r>
  <r>
    <x v="6"/>
    <x v="1"/>
    <x v="0"/>
    <x v="0"/>
    <x v="5"/>
    <x v="5"/>
    <x v="1"/>
    <x v="1"/>
    <x v="14"/>
    <x v="14"/>
  </r>
  <r>
    <x v="7"/>
    <x v="1"/>
    <x v="0"/>
    <x v="0"/>
    <x v="5"/>
    <x v="5"/>
    <x v="1"/>
    <x v="1"/>
    <x v="13"/>
    <x v="13"/>
  </r>
  <r>
    <x v="8"/>
    <x v="1"/>
    <x v="0"/>
    <x v="0"/>
    <x v="5"/>
    <x v="5"/>
    <x v="0"/>
    <x v="0"/>
    <x v="13"/>
    <x v="13"/>
  </r>
  <r>
    <x v="9"/>
    <x v="1"/>
    <x v="0"/>
    <x v="0"/>
    <x v="5"/>
    <x v="5"/>
    <x v="1"/>
    <x v="1"/>
    <x v="15"/>
    <x v="15"/>
  </r>
  <r>
    <x v="10"/>
    <x v="1"/>
    <x v="0"/>
    <x v="0"/>
    <x v="5"/>
    <x v="5"/>
    <x v="0"/>
    <x v="0"/>
    <x v="2"/>
    <x v="2"/>
  </r>
  <r>
    <x v="11"/>
    <x v="1"/>
    <x v="0"/>
    <x v="0"/>
    <x v="5"/>
    <x v="5"/>
    <x v="0"/>
    <x v="0"/>
    <x v="1"/>
    <x v="1"/>
  </r>
  <r>
    <x v="12"/>
    <x v="2"/>
    <x v="0"/>
    <x v="0"/>
    <x v="5"/>
    <x v="5"/>
    <x v="0"/>
    <x v="0"/>
    <x v="12"/>
    <x v="12"/>
  </r>
  <r>
    <x v="13"/>
    <x v="2"/>
    <x v="0"/>
    <x v="0"/>
    <x v="5"/>
    <x v="5"/>
    <x v="0"/>
    <x v="0"/>
    <x v="12"/>
    <x v="12"/>
  </r>
  <r>
    <x v="14"/>
    <x v="2"/>
    <x v="0"/>
    <x v="0"/>
    <x v="5"/>
    <x v="5"/>
    <x v="0"/>
    <x v="0"/>
    <x v="17"/>
    <x v="17"/>
  </r>
  <r>
    <x v="15"/>
    <x v="2"/>
    <x v="0"/>
    <x v="0"/>
    <x v="5"/>
    <x v="5"/>
    <x v="0"/>
    <x v="0"/>
    <x v="17"/>
    <x v="17"/>
  </r>
  <r>
    <x v="16"/>
    <x v="2"/>
    <x v="0"/>
    <x v="0"/>
    <x v="5"/>
    <x v="5"/>
    <x v="0"/>
    <x v="0"/>
    <x v="12"/>
    <x v="12"/>
  </r>
  <r>
    <x v="17"/>
    <x v="2"/>
    <x v="0"/>
    <x v="0"/>
    <x v="5"/>
    <x v="5"/>
    <x v="0"/>
    <x v="0"/>
    <x v="1"/>
    <x v="1"/>
  </r>
  <r>
    <x v="18"/>
    <x v="3"/>
    <x v="0"/>
    <x v="0"/>
    <x v="5"/>
    <x v="5"/>
    <x v="0"/>
    <x v="0"/>
    <x v="1"/>
    <x v="1"/>
  </r>
  <r>
    <x v="19"/>
    <x v="3"/>
    <x v="0"/>
    <x v="0"/>
    <x v="5"/>
    <x v="5"/>
    <x v="0"/>
    <x v="0"/>
    <x v="1"/>
    <x v="1"/>
  </r>
  <r>
    <x v="20"/>
    <x v="3"/>
    <x v="0"/>
    <x v="0"/>
    <x v="5"/>
    <x v="5"/>
    <x v="0"/>
    <x v="0"/>
    <x v="2"/>
    <x v="2"/>
  </r>
  <r>
    <x v="21"/>
    <x v="3"/>
    <x v="0"/>
    <x v="0"/>
    <x v="5"/>
    <x v="5"/>
    <x v="1"/>
    <x v="1"/>
    <x v="1"/>
    <x v="1"/>
  </r>
  <r>
    <x v="22"/>
    <x v="3"/>
    <x v="0"/>
    <x v="0"/>
    <x v="5"/>
    <x v="5"/>
    <x v="1"/>
    <x v="1"/>
    <x v="1"/>
    <x v="1"/>
  </r>
  <r>
    <x v="23"/>
    <x v="3"/>
    <x v="0"/>
    <x v="0"/>
    <x v="5"/>
    <x v="5"/>
    <x v="1"/>
    <x v="1"/>
    <x v="2"/>
    <x v="2"/>
  </r>
  <r>
    <x v="0"/>
    <x v="0"/>
    <x v="0"/>
    <x v="0"/>
    <x v="6"/>
    <x v="6"/>
    <x v="1"/>
    <x v="1"/>
    <x v="2"/>
    <x v="2"/>
  </r>
  <r>
    <x v="1"/>
    <x v="0"/>
    <x v="0"/>
    <x v="0"/>
    <x v="6"/>
    <x v="6"/>
    <x v="1"/>
    <x v="1"/>
    <x v="2"/>
    <x v="2"/>
  </r>
  <r>
    <x v="2"/>
    <x v="0"/>
    <x v="0"/>
    <x v="0"/>
    <x v="6"/>
    <x v="6"/>
    <x v="1"/>
    <x v="1"/>
    <x v="2"/>
    <x v="2"/>
  </r>
  <r>
    <x v="4"/>
    <x v="0"/>
    <x v="0"/>
    <x v="0"/>
    <x v="6"/>
    <x v="6"/>
    <x v="1"/>
    <x v="1"/>
    <x v="2"/>
    <x v="2"/>
  </r>
  <r>
    <x v="5"/>
    <x v="0"/>
    <x v="0"/>
    <x v="0"/>
    <x v="6"/>
    <x v="6"/>
    <x v="2"/>
    <x v="2"/>
    <x v="1"/>
    <x v="1"/>
  </r>
  <r>
    <x v="6"/>
    <x v="1"/>
    <x v="0"/>
    <x v="0"/>
    <x v="6"/>
    <x v="6"/>
    <x v="1"/>
    <x v="1"/>
    <x v="2"/>
    <x v="2"/>
  </r>
  <r>
    <x v="7"/>
    <x v="1"/>
    <x v="0"/>
    <x v="0"/>
    <x v="6"/>
    <x v="6"/>
    <x v="0"/>
    <x v="0"/>
    <x v="2"/>
    <x v="2"/>
  </r>
  <r>
    <x v="8"/>
    <x v="1"/>
    <x v="0"/>
    <x v="0"/>
    <x v="6"/>
    <x v="6"/>
    <x v="0"/>
    <x v="0"/>
    <x v="2"/>
    <x v="2"/>
  </r>
  <r>
    <x v="9"/>
    <x v="1"/>
    <x v="0"/>
    <x v="0"/>
    <x v="6"/>
    <x v="6"/>
    <x v="0"/>
    <x v="0"/>
    <x v="2"/>
    <x v="2"/>
  </r>
  <r>
    <x v="10"/>
    <x v="1"/>
    <x v="0"/>
    <x v="0"/>
    <x v="6"/>
    <x v="6"/>
    <x v="0"/>
    <x v="0"/>
    <x v="1"/>
    <x v="1"/>
  </r>
  <r>
    <x v="11"/>
    <x v="1"/>
    <x v="0"/>
    <x v="0"/>
    <x v="6"/>
    <x v="6"/>
    <x v="1"/>
    <x v="1"/>
    <x v="2"/>
    <x v="2"/>
  </r>
  <r>
    <x v="12"/>
    <x v="2"/>
    <x v="0"/>
    <x v="0"/>
    <x v="6"/>
    <x v="6"/>
    <x v="1"/>
    <x v="1"/>
    <x v="2"/>
    <x v="2"/>
  </r>
  <r>
    <x v="13"/>
    <x v="2"/>
    <x v="0"/>
    <x v="0"/>
    <x v="6"/>
    <x v="6"/>
    <x v="1"/>
    <x v="1"/>
    <x v="2"/>
    <x v="2"/>
  </r>
  <r>
    <x v="14"/>
    <x v="2"/>
    <x v="0"/>
    <x v="0"/>
    <x v="6"/>
    <x v="6"/>
    <x v="1"/>
    <x v="1"/>
    <x v="2"/>
    <x v="2"/>
  </r>
  <r>
    <x v="15"/>
    <x v="2"/>
    <x v="0"/>
    <x v="0"/>
    <x v="6"/>
    <x v="6"/>
    <x v="1"/>
    <x v="1"/>
    <x v="2"/>
    <x v="2"/>
  </r>
  <r>
    <x v="16"/>
    <x v="2"/>
    <x v="0"/>
    <x v="0"/>
    <x v="6"/>
    <x v="6"/>
    <x v="1"/>
    <x v="1"/>
    <x v="2"/>
    <x v="2"/>
  </r>
  <r>
    <x v="17"/>
    <x v="2"/>
    <x v="0"/>
    <x v="0"/>
    <x v="6"/>
    <x v="6"/>
    <x v="1"/>
    <x v="1"/>
    <x v="2"/>
    <x v="2"/>
  </r>
  <r>
    <x v="18"/>
    <x v="3"/>
    <x v="0"/>
    <x v="0"/>
    <x v="6"/>
    <x v="6"/>
    <x v="0"/>
    <x v="0"/>
    <x v="2"/>
    <x v="2"/>
  </r>
  <r>
    <x v="19"/>
    <x v="3"/>
    <x v="0"/>
    <x v="0"/>
    <x v="6"/>
    <x v="6"/>
    <x v="0"/>
    <x v="0"/>
    <x v="13"/>
    <x v="13"/>
  </r>
  <r>
    <x v="20"/>
    <x v="3"/>
    <x v="0"/>
    <x v="0"/>
    <x v="6"/>
    <x v="6"/>
    <x v="0"/>
    <x v="0"/>
    <x v="15"/>
    <x v="15"/>
  </r>
  <r>
    <x v="21"/>
    <x v="3"/>
    <x v="0"/>
    <x v="0"/>
    <x v="6"/>
    <x v="6"/>
    <x v="0"/>
    <x v="0"/>
    <x v="15"/>
    <x v="15"/>
  </r>
  <r>
    <x v="22"/>
    <x v="3"/>
    <x v="0"/>
    <x v="0"/>
    <x v="6"/>
    <x v="6"/>
    <x v="1"/>
    <x v="1"/>
    <x v="15"/>
    <x v="15"/>
  </r>
  <r>
    <x v="23"/>
    <x v="3"/>
    <x v="0"/>
    <x v="0"/>
    <x v="6"/>
    <x v="6"/>
    <x v="1"/>
    <x v="1"/>
    <x v="15"/>
    <x v="15"/>
  </r>
  <r>
    <x v="0"/>
    <x v="0"/>
    <x v="0"/>
    <x v="0"/>
    <x v="0"/>
    <x v="0"/>
    <x v="1"/>
    <x v="1"/>
    <x v="15"/>
    <x v="15"/>
  </r>
  <r>
    <x v="1"/>
    <x v="0"/>
    <x v="0"/>
    <x v="0"/>
    <x v="0"/>
    <x v="0"/>
    <x v="1"/>
    <x v="1"/>
    <x v="15"/>
    <x v="15"/>
  </r>
  <r>
    <x v="2"/>
    <x v="0"/>
    <x v="0"/>
    <x v="0"/>
    <x v="0"/>
    <x v="0"/>
    <x v="1"/>
    <x v="1"/>
    <x v="15"/>
    <x v="15"/>
  </r>
  <r>
    <x v="3"/>
    <x v="0"/>
    <x v="0"/>
    <x v="0"/>
    <x v="0"/>
    <x v="0"/>
    <x v="2"/>
    <x v="2"/>
    <x v="15"/>
    <x v="15"/>
  </r>
  <r>
    <x v="4"/>
    <x v="0"/>
    <x v="0"/>
    <x v="0"/>
    <x v="0"/>
    <x v="0"/>
    <x v="2"/>
    <x v="2"/>
    <x v="15"/>
    <x v="15"/>
  </r>
  <r>
    <x v="5"/>
    <x v="0"/>
    <x v="0"/>
    <x v="0"/>
    <x v="0"/>
    <x v="0"/>
    <x v="1"/>
    <x v="1"/>
    <x v="13"/>
    <x v="13"/>
  </r>
  <r>
    <x v="6"/>
    <x v="1"/>
    <x v="0"/>
    <x v="0"/>
    <x v="0"/>
    <x v="0"/>
    <x v="1"/>
    <x v="1"/>
    <x v="13"/>
    <x v="13"/>
  </r>
  <r>
    <x v="7"/>
    <x v="1"/>
    <x v="0"/>
    <x v="0"/>
    <x v="0"/>
    <x v="0"/>
    <x v="1"/>
    <x v="1"/>
    <x v="13"/>
    <x v="13"/>
  </r>
  <r>
    <x v="8"/>
    <x v="1"/>
    <x v="0"/>
    <x v="0"/>
    <x v="0"/>
    <x v="0"/>
    <x v="2"/>
    <x v="2"/>
    <x v="13"/>
    <x v="13"/>
  </r>
  <r>
    <x v="9"/>
    <x v="1"/>
    <x v="0"/>
    <x v="0"/>
    <x v="0"/>
    <x v="0"/>
    <x v="2"/>
    <x v="2"/>
    <x v="13"/>
    <x v="13"/>
  </r>
  <r>
    <x v="10"/>
    <x v="1"/>
    <x v="0"/>
    <x v="0"/>
    <x v="0"/>
    <x v="0"/>
    <x v="1"/>
    <x v="1"/>
    <x v="15"/>
    <x v="15"/>
  </r>
  <r>
    <x v="11"/>
    <x v="1"/>
    <x v="0"/>
    <x v="0"/>
    <x v="0"/>
    <x v="0"/>
    <x v="1"/>
    <x v="1"/>
    <x v="2"/>
    <x v="2"/>
  </r>
  <r>
    <x v="12"/>
    <x v="2"/>
    <x v="0"/>
    <x v="0"/>
    <x v="0"/>
    <x v="0"/>
    <x v="1"/>
    <x v="1"/>
    <x v="2"/>
    <x v="2"/>
  </r>
  <r>
    <x v="13"/>
    <x v="2"/>
    <x v="0"/>
    <x v="0"/>
    <x v="0"/>
    <x v="0"/>
    <x v="0"/>
    <x v="0"/>
    <x v="2"/>
    <x v="2"/>
  </r>
  <r>
    <x v="14"/>
    <x v="2"/>
    <x v="0"/>
    <x v="0"/>
    <x v="0"/>
    <x v="0"/>
    <x v="0"/>
    <x v="0"/>
    <x v="2"/>
    <x v="2"/>
  </r>
  <r>
    <x v="15"/>
    <x v="2"/>
    <x v="0"/>
    <x v="0"/>
    <x v="0"/>
    <x v="0"/>
    <x v="0"/>
    <x v="0"/>
    <x v="2"/>
    <x v="2"/>
  </r>
  <r>
    <x v="16"/>
    <x v="2"/>
    <x v="0"/>
    <x v="0"/>
    <x v="0"/>
    <x v="0"/>
    <x v="0"/>
    <x v="0"/>
    <x v="15"/>
    <x v="15"/>
  </r>
  <r>
    <x v="17"/>
    <x v="2"/>
    <x v="0"/>
    <x v="0"/>
    <x v="0"/>
    <x v="0"/>
    <x v="0"/>
    <x v="0"/>
    <x v="13"/>
    <x v="13"/>
  </r>
  <r>
    <x v="18"/>
    <x v="3"/>
    <x v="0"/>
    <x v="0"/>
    <x v="0"/>
    <x v="0"/>
    <x v="0"/>
    <x v="0"/>
    <x v="14"/>
    <x v="14"/>
  </r>
  <r>
    <x v="19"/>
    <x v="3"/>
    <x v="0"/>
    <x v="0"/>
    <x v="0"/>
    <x v="0"/>
    <x v="0"/>
    <x v="0"/>
    <x v="14"/>
    <x v="14"/>
  </r>
  <r>
    <x v="20"/>
    <x v="3"/>
    <x v="0"/>
    <x v="0"/>
    <x v="0"/>
    <x v="0"/>
    <x v="0"/>
    <x v="0"/>
    <x v="16"/>
    <x v="16"/>
  </r>
  <r>
    <x v="21"/>
    <x v="3"/>
    <x v="0"/>
    <x v="0"/>
    <x v="0"/>
    <x v="0"/>
    <x v="0"/>
    <x v="0"/>
    <x v="16"/>
    <x v="16"/>
  </r>
  <r>
    <x v="22"/>
    <x v="3"/>
    <x v="0"/>
    <x v="0"/>
    <x v="0"/>
    <x v="0"/>
    <x v="0"/>
    <x v="0"/>
    <x v="16"/>
    <x v="16"/>
  </r>
  <r>
    <x v="23"/>
    <x v="3"/>
    <x v="0"/>
    <x v="0"/>
    <x v="0"/>
    <x v="0"/>
    <x v="0"/>
    <x v="0"/>
    <x v="18"/>
    <x v="18"/>
  </r>
  <r>
    <x v="0"/>
    <x v="0"/>
    <x v="0"/>
    <x v="0"/>
    <x v="1"/>
    <x v="1"/>
    <x v="0"/>
    <x v="0"/>
    <x v="18"/>
    <x v="18"/>
  </r>
  <r>
    <x v="1"/>
    <x v="0"/>
    <x v="0"/>
    <x v="0"/>
    <x v="1"/>
    <x v="1"/>
    <x v="0"/>
    <x v="0"/>
    <x v="18"/>
    <x v="18"/>
  </r>
  <r>
    <x v="2"/>
    <x v="0"/>
    <x v="0"/>
    <x v="0"/>
    <x v="1"/>
    <x v="1"/>
    <x v="0"/>
    <x v="0"/>
    <x v="18"/>
    <x v="18"/>
  </r>
  <r>
    <x v="3"/>
    <x v="0"/>
    <x v="0"/>
    <x v="0"/>
    <x v="1"/>
    <x v="1"/>
    <x v="0"/>
    <x v="0"/>
    <x v="18"/>
    <x v="18"/>
  </r>
  <r>
    <x v="4"/>
    <x v="0"/>
    <x v="0"/>
    <x v="0"/>
    <x v="1"/>
    <x v="1"/>
    <x v="0"/>
    <x v="0"/>
    <x v="19"/>
    <x v="19"/>
  </r>
  <r>
    <x v="5"/>
    <x v="0"/>
    <x v="0"/>
    <x v="0"/>
    <x v="1"/>
    <x v="1"/>
    <x v="0"/>
    <x v="0"/>
    <x v="19"/>
    <x v="19"/>
  </r>
  <r>
    <x v="6"/>
    <x v="1"/>
    <x v="0"/>
    <x v="0"/>
    <x v="1"/>
    <x v="1"/>
    <x v="0"/>
    <x v="0"/>
    <x v="18"/>
    <x v="18"/>
  </r>
  <r>
    <x v="7"/>
    <x v="1"/>
    <x v="0"/>
    <x v="0"/>
    <x v="1"/>
    <x v="1"/>
    <x v="0"/>
    <x v="0"/>
    <x v="19"/>
    <x v="19"/>
  </r>
  <r>
    <x v="8"/>
    <x v="1"/>
    <x v="0"/>
    <x v="0"/>
    <x v="1"/>
    <x v="1"/>
    <x v="0"/>
    <x v="0"/>
    <x v="18"/>
    <x v="18"/>
  </r>
  <r>
    <x v="9"/>
    <x v="1"/>
    <x v="0"/>
    <x v="0"/>
    <x v="1"/>
    <x v="1"/>
    <x v="0"/>
    <x v="0"/>
    <x v="16"/>
    <x v="16"/>
  </r>
  <r>
    <x v="10"/>
    <x v="1"/>
    <x v="0"/>
    <x v="0"/>
    <x v="1"/>
    <x v="1"/>
    <x v="0"/>
    <x v="0"/>
    <x v="14"/>
    <x v="14"/>
  </r>
  <r>
    <x v="11"/>
    <x v="1"/>
    <x v="0"/>
    <x v="0"/>
    <x v="1"/>
    <x v="1"/>
    <x v="0"/>
    <x v="0"/>
    <x v="13"/>
    <x v="13"/>
  </r>
  <r>
    <x v="12"/>
    <x v="2"/>
    <x v="0"/>
    <x v="0"/>
    <x v="1"/>
    <x v="1"/>
    <x v="0"/>
    <x v="0"/>
    <x v="15"/>
    <x v="15"/>
  </r>
  <r>
    <x v="13"/>
    <x v="2"/>
    <x v="0"/>
    <x v="0"/>
    <x v="1"/>
    <x v="1"/>
    <x v="0"/>
    <x v="0"/>
    <x v="2"/>
    <x v="2"/>
  </r>
  <r>
    <x v="14"/>
    <x v="2"/>
    <x v="0"/>
    <x v="0"/>
    <x v="1"/>
    <x v="1"/>
    <x v="0"/>
    <x v="0"/>
    <x v="1"/>
    <x v="1"/>
  </r>
  <r>
    <x v="15"/>
    <x v="2"/>
    <x v="0"/>
    <x v="0"/>
    <x v="1"/>
    <x v="1"/>
    <x v="0"/>
    <x v="0"/>
    <x v="1"/>
    <x v="1"/>
  </r>
  <r>
    <x v="16"/>
    <x v="2"/>
    <x v="0"/>
    <x v="0"/>
    <x v="1"/>
    <x v="1"/>
    <x v="0"/>
    <x v="0"/>
    <x v="2"/>
    <x v="2"/>
  </r>
  <r>
    <x v="17"/>
    <x v="2"/>
    <x v="0"/>
    <x v="0"/>
    <x v="1"/>
    <x v="1"/>
    <x v="0"/>
    <x v="0"/>
    <x v="15"/>
    <x v="15"/>
  </r>
  <r>
    <x v="18"/>
    <x v="3"/>
    <x v="0"/>
    <x v="0"/>
    <x v="1"/>
    <x v="1"/>
    <x v="0"/>
    <x v="0"/>
    <x v="13"/>
    <x v="13"/>
  </r>
  <r>
    <x v="19"/>
    <x v="3"/>
    <x v="0"/>
    <x v="0"/>
    <x v="1"/>
    <x v="1"/>
    <x v="0"/>
    <x v="0"/>
    <x v="13"/>
    <x v="13"/>
  </r>
  <r>
    <x v="20"/>
    <x v="3"/>
    <x v="0"/>
    <x v="0"/>
    <x v="1"/>
    <x v="1"/>
    <x v="0"/>
    <x v="0"/>
    <x v="14"/>
    <x v="14"/>
  </r>
  <r>
    <x v="21"/>
    <x v="3"/>
    <x v="0"/>
    <x v="0"/>
    <x v="1"/>
    <x v="1"/>
    <x v="0"/>
    <x v="0"/>
    <x v="14"/>
    <x v="14"/>
  </r>
  <r>
    <x v="22"/>
    <x v="3"/>
    <x v="0"/>
    <x v="0"/>
    <x v="1"/>
    <x v="1"/>
    <x v="0"/>
    <x v="0"/>
    <x v="14"/>
    <x v="14"/>
  </r>
  <r>
    <x v="23"/>
    <x v="3"/>
    <x v="0"/>
    <x v="0"/>
    <x v="1"/>
    <x v="1"/>
    <x v="0"/>
    <x v="0"/>
    <x v="16"/>
    <x v="16"/>
  </r>
  <r>
    <x v="0"/>
    <x v="0"/>
    <x v="0"/>
    <x v="0"/>
    <x v="2"/>
    <x v="2"/>
    <x v="0"/>
    <x v="0"/>
    <x v="16"/>
    <x v="16"/>
  </r>
  <r>
    <x v="1"/>
    <x v="0"/>
    <x v="0"/>
    <x v="0"/>
    <x v="2"/>
    <x v="2"/>
    <x v="0"/>
    <x v="0"/>
    <x v="16"/>
    <x v="16"/>
  </r>
  <r>
    <x v="2"/>
    <x v="0"/>
    <x v="0"/>
    <x v="0"/>
    <x v="2"/>
    <x v="2"/>
    <x v="0"/>
    <x v="0"/>
    <x v="16"/>
    <x v="16"/>
  </r>
  <r>
    <x v="3"/>
    <x v="0"/>
    <x v="0"/>
    <x v="0"/>
    <x v="2"/>
    <x v="2"/>
    <x v="0"/>
    <x v="0"/>
    <x v="16"/>
    <x v="16"/>
  </r>
  <r>
    <x v="4"/>
    <x v="0"/>
    <x v="0"/>
    <x v="0"/>
    <x v="2"/>
    <x v="2"/>
    <x v="0"/>
    <x v="0"/>
    <x v="18"/>
    <x v="18"/>
  </r>
  <r>
    <x v="5"/>
    <x v="0"/>
    <x v="0"/>
    <x v="0"/>
    <x v="2"/>
    <x v="2"/>
    <x v="0"/>
    <x v="0"/>
    <x v="18"/>
    <x v="18"/>
  </r>
  <r>
    <x v="6"/>
    <x v="1"/>
    <x v="0"/>
    <x v="0"/>
    <x v="2"/>
    <x v="2"/>
    <x v="0"/>
    <x v="0"/>
    <x v="16"/>
    <x v="16"/>
  </r>
  <r>
    <x v="7"/>
    <x v="1"/>
    <x v="0"/>
    <x v="0"/>
    <x v="2"/>
    <x v="2"/>
    <x v="0"/>
    <x v="0"/>
    <x v="16"/>
    <x v="16"/>
  </r>
  <r>
    <x v="8"/>
    <x v="1"/>
    <x v="0"/>
    <x v="0"/>
    <x v="2"/>
    <x v="2"/>
    <x v="1"/>
    <x v="1"/>
    <x v="16"/>
    <x v="16"/>
  </r>
  <r>
    <x v="9"/>
    <x v="1"/>
    <x v="0"/>
    <x v="0"/>
    <x v="2"/>
    <x v="2"/>
    <x v="1"/>
    <x v="1"/>
    <x v="14"/>
    <x v="14"/>
  </r>
  <r>
    <x v="10"/>
    <x v="1"/>
    <x v="0"/>
    <x v="0"/>
    <x v="2"/>
    <x v="2"/>
    <x v="1"/>
    <x v="1"/>
    <x v="14"/>
    <x v="14"/>
  </r>
  <r>
    <x v="11"/>
    <x v="1"/>
    <x v="0"/>
    <x v="0"/>
    <x v="2"/>
    <x v="2"/>
    <x v="1"/>
    <x v="1"/>
    <x v="13"/>
    <x v="13"/>
  </r>
  <r>
    <x v="12"/>
    <x v="2"/>
    <x v="0"/>
    <x v="0"/>
    <x v="2"/>
    <x v="2"/>
    <x v="1"/>
    <x v="1"/>
    <x v="2"/>
    <x v="2"/>
  </r>
  <r>
    <x v="13"/>
    <x v="2"/>
    <x v="0"/>
    <x v="0"/>
    <x v="2"/>
    <x v="2"/>
    <x v="1"/>
    <x v="1"/>
    <x v="2"/>
    <x v="2"/>
  </r>
  <r>
    <x v="14"/>
    <x v="2"/>
    <x v="0"/>
    <x v="0"/>
    <x v="2"/>
    <x v="2"/>
    <x v="1"/>
    <x v="1"/>
    <x v="2"/>
    <x v="2"/>
  </r>
  <r>
    <x v="15"/>
    <x v="2"/>
    <x v="0"/>
    <x v="0"/>
    <x v="2"/>
    <x v="2"/>
    <x v="1"/>
    <x v="1"/>
    <x v="2"/>
    <x v="2"/>
  </r>
  <r>
    <x v="16"/>
    <x v="2"/>
    <x v="0"/>
    <x v="0"/>
    <x v="2"/>
    <x v="2"/>
    <x v="0"/>
    <x v="0"/>
    <x v="2"/>
    <x v="2"/>
  </r>
  <r>
    <x v="17"/>
    <x v="2"/>
    <x v="0"/>
    <x v="0"/>
    <x v="2"/>
    <x v="2"/>
    <x v="0"/>
    <x v="0"/>
    <x v="2"/>
    <x v="2"/>
  </r>
  <r>
    <x v="18"/>
    <x v="3"/>
    <x v="0"/>
    <x v="0"/>
    <x v="2"/>
    <x v="2"/>
    <x v="0"/>
    <x v="0"/>
    <x v="2"/>
    <x v="2"/>
  </r>
  <r>
    <x v="19"/>
    <x v="3"/>
    <x v="0"/>
    <x v="0"/>
    <x v="2"/>
    <x v="2"/>
    <x v="0"/>
    <x v="0"/>
    <x v="13"/>
    <x v="13"/>
  </r>
  <r>
    <x v="20"/>
    <x v="3"/>
    <x v="0"/>
    <x v="0"/>
    <x v="2"/>
    <x v="2"/>
    <x v="0"/>
    <x v="0"/>
    <x v="13"/>
    <x v="13"/>
  </r>
  <r>
    <x v="21"/>
    <x v="3"/>
    <x v="0"/>
    <x v="0"/>
    <x v="2"/>
    <x v="2"/>
    <x v="0"/>
    <x v="0"/>
    <x v="14"/>
    <x v="14"/>
  </r>
  <r>
    <x v="22"/>
    <x v="3"/>
    <x v="0"/>
    <x v="0"/>
    <x v="2"/>
    <x v="2"/>
    <x v="0"/>
    <x v="0"/>
    <x v="14"/>
    <x v="14"/>
  </r>
  <r>
    <x v="23"/>
    <x v="3"/>
    <x v="0"/>
    <x v="0"/>
    <x v="2"/>
    <x v="2"/>
    <x v="0"/>
    <x v="0"/>
    <x v="14"/>
    <x v="14"/>
  </r>
  <r>
    <x v="0"/>
    <x v="0"/>
    <x v="0"/>
    <x v="0"/>
    <x v="3"/>
    <x v="3"/>
    <x v="0"/>
    <x v="0"/>
    <x v="14"/>
    <x v="14"/>
  </r>
  <r>
    <x v="1"/>
    <x v="0"/>
    <x v="0"/>
    <x v="0"/>
    <x v="3"/>
    <x v="3"/>
    <x v="0"/>
    <x v="0"/>
    <x v="14"/>
    <x v="14"/>
  </r>
  <r>
    <x v="2"/>
    <x v="0"/>
    <x v="0"/>
    <x v="0"/>
    <x v="3"/>
    <x v="3"/>
    <x v="1"/>
    <x v="1"/>
    <x v="13"/>
    <x v="13"/>
  </r>
  <r>
    <x v="5"/>
    <x v="0"/>
    <x v="0"/>
    <x v="0"/>
    <x v="3"/>
    <x v="3"/>
    <x v="1"/>
    <x v="1"/>
    <x v="13"/>
    <x v="13"/>
  </r>
  <r>
    <x v="6"/>
    <x v="1"/>
    <x v="0"/>
    <x v="0"/>
    <x v="3"/>
    <x v="3"/>
    <x v="1"/>
    <x v="1"/>
    <x v="13"/>
    <x v="13"/>
  </r>
  <r>
    <x v="7"/>
    <x v="1"/>
    <x v="0"/>
    <x v="0"/>
    <x v="3"/>
    <x v="3"/>
    <x v="1"/>
    <x v="1"/>
    <x v="13"/>
    <x v="13"/>
  </r>
  <r>
    <x v="8"/>
    <x v="1"/>
    <x v="0"/>
    <x v="0"/>
    <x v="3"/>
    <x v="3"/>
    <x v="1"/>
    <x v="1"/>
    <x v="15"/>
    <x v="15"/>
  </r>
  <r>
    <x v="9"/>
    <x v="1"/>
    <x v="0"/>
    <x v="0"/>
    <x v="3"/>
    <x v="3"/>
    <x v="1"/>
    <x v="1"/>
    <x v="15"/>
    <x v="15"/>
  </r>
  <r>
    <x v="10"/>
    <x v="1"/>
    <x v="0"/>
    <x v="0"/>
    <x v="3"/>
    <x v="3"/>
    <x v="1"/>
    <x v="1"/>
    <x v="2"/>
    <x v="2"/>
  </r>
  <r>
    <x v="11"/>
    <x v="1"/>
    <x v="0"/>
    <x v="0"/>
    <x v="3"/>
    <x v="3"/>
    <x v="1"/>
    <x v="1"/>
    <x v="2"/>
    <x v="2"/>
  </r>
  <r>
    <x v="12"/>
    <x v="2"/>
    <x v="0"/>
    <x v="0"/>
    <x v="3"/>
    <x v="3"/>
    <x v="1"/>
    <x v="1"/>
    <x v="2"/>
    <x v="2"/>
  </r>
  <r>
    <x v="13"/>
    <x v="2"/>
    <x v="0"/>
    <x v="0"/>
    <x v="3"/>
    <x v="3"/>
    <x v="1"/>
    <x v="1"/>
    <x v="2"/>
    <x v="2"/>
  </r>
  <r>
    <x v="14"/>
    <x v="2"/>
    <x v="0"/>
    <x v="0"/>
    <x v="3"/>
    <x v="3"/>
    <x v="1"/>
    <x v="1"/>
    <x v="2"/>
    <x v="2"/>
  </r>
  <r>
    <x v="15"/>
    <x v="2"/>
    <x v="0"/>
    <x v="0"/>
    <x v="3"/>
    <x v="3"/>
    <x v="1"/>
    <x v="1"/>
    <x v="13"/>
    <x v="13"/>
  </r>
  <r>
    <x v="16"/>
    <x v="2"/>
    <x v="0"/>
    <x v="0"/>
    <x v="3"/>
    <x v="3"/>
    <x v="1"/>
    <x v="1"/>
    <x v="13"/>
    <x v="13"/>
  </r>
  <r>
    <x v="17"/>
    <x v="2"/>
    <x v="0"/>
    <x v="0"/>
    <x v="3"/>
    <x v="3"/>
    <x v="1"/>
    <x v="1"/>
    <x v="13"/>
    <x v="13"/>
  </r>
  <r>
    <x v="18"/>
    <x v="3"/>
    <x v="0"/>
    <x v="0"/>
    <x v="3"/>
    <x v="3"/>
    <x v="2"/>
    <x v="2"/>
    <x v="13"/>
    <x v="13"/>
  </r>
  <r>
    <x v="19"/>
    <x v="3"/>
    <x v="0"/>
    <x v="0"/>
    <x v="3"/>
    <x v="3"/>
    <x v="2"/>
    <x v="2"/>
    <x v="13"/>
    <x v="13"/>
  </r>
  <r>
    <x v="20"/>
    <x v="3"/>
    <x v="0"/>
    <x v="0"/>
    <x v="3"/>
    <x v="3"/>
    <x v="2"/>
    <x v="2"/>
    <x v="13"/>
    <x v="13"/>
  </r>
  <r>
    <x v="21"/>
    <x v="3"/>
    <x v="0"/>
    <x v="0"/>
    <x v="3"/>
    <x v="3"/>
    <x v="2"/>
    <x v="2"/>
    <x v="13"/>
    <x v="13"/>
  </r>
  <r>
    <x v="22"/>
    <x v="3"/>
    <x v="0"/>
    <x v="0"/>
    <x v="3"/>
    <x v="3"/>
    <x v="2"/>
    <x v="2"/>
    <x v="13"/>
    <x v="13"/>
  </r>
  <r>
    <x v="23"/>
    <x v="3"/>
    <x v="0"/>
    <x v="0"/>
    <x v="3"/>
    <x v="3"/>
    <x v="2"/>
    <x v="2"/>
    <x v="13"/>
    <x v="13"/>
  </r>
  <r>
    <x v="0"/>
    <x v="0"/>
    <x v="0"/>
    <x v="0"/>
    <x v="4"/>
    <x v="4"/>
    <x v="1"/>
    <x v="1"/>
    <x v="13"/>
    <x v="13"/>
  </r>
  <r>
    <x v="1"/>
    <x v="0"/>
    <x v="0"/>
    <x v="0"/>
    <x v="4"/>
    <x v="4"/>
    <x v="1"/>
    <x v="1"/>
    <x v="13"/>
    <x v="13"/>
  </r>
  <r>
    <x v="2"/>
    <x v="0"/>
    <x v="0"/>
    <x v="0"/>
    <x v="4"/>
    <x v="4"/>
    <x v="0"/>
    <x v="0"/>
    <x v="14"/>
    <x v="14"/>
  </r>
  <r>
    <x v="5"/>
    <x v="0"/>
    <x v="0"/>
    <x v="0"/>
    <x v="4"/>
    <x v="4"/>
    <x v="0"/>
    <x v="0"/>
    <x v="14"/>
    <x v="14"/>
  </r>
  <r>
    <x v="6"/>
    <x v="1"/>
    <x v="0"/>
    <x v="0"/>
    <x v="4"/>
    <x v="4"/>
    <x v="0"/>
    <x v="0"/>
    <x v="16"/>
    <x v="16"/>
  </r>
  <r>
    <x v="7"/>
    <x v="1"/>
    <x v="0"/>
    <x v="0"/>
    <x v="4"/>
    <x v="4"/>
    <x v="0"/>
    <x v="0"/>
    <x v="14"/>
    <x v="14"/>
  </r>
  <r>
    <x v="8"/>
    <x v="1"/>
    <x v="0"/>
    <x v="0"/>
    <x v="4"/>
    <x v="4"/>
    <x v="0"/>
    <x v="0"/>
    <x v="13"/>
    <x v="13"/>
  </r>
  <r>
    <x v="9"/>
    <x v="1"/>
    <x v="0"/>
    <x v="0"/>
    <x v="4"/>
    <x v="4"/>
    <x v="0"/>
    <x v="0"/>
    <x v="13"/>
    <x v="13"/>
  </r>
  <r>
    <x v="10"/>
    <x v="1"/>
    <x v="0"/>
    <x v="0"/>
    <x v="4"/>
    <x v="4"/>
    <x v="0"/>
    <x v="0"/>
    <x v="15"/>
    <x v="15"/>
  </r>
  <r>
    <x v="11"/>
    <x v="1"/>
    <x v="0"/>
    <x v="0"/>
    <x v="4"/>
    <x v="4"/>
    <x v="0"/>
    <x v="0"/>
    <x v="2"/>
    <x v="2"/>
  </r>
  <r>
    <x v="12"/>
    <x v="2"/>
    <x v="0"/>
    <x v="0"/>
    <x v="4"/>
    <x v="4"/>
    <x v="0"/>
    <x v="0"/>
    <x v="2"/>
    <x v="2"/>
  </r>
  <r>
    <x v="13"/>
    <x v="2"/>
    <x v="0"/>
    <x v="0"/>
    <x v="4"/>
    <x v="4"/>
    <x v="0"/>
    <x v="0"/>
    <x v="1"/>
    <x v="1"/>
  </r>
  <r>
    <x v="14"/>
    <x v="2"/>
    <x v="0"/>
    <x v="0"/>
    <x v="4"/>
    <x v="4"/>
    <x v="0"/>
    <x v="0"/>
    <x v="2"/>
    <x v="2"/>
  </r>
  <r>
    <x v="15"/>
    <x v="2"/>
    <x v="0"/>
    <x v="0"/>
    <x v="4"/>
    <x v="4"/>
    <x v="0"/>
    <x v="0"/>
    <x v="2"/>
    <x v="2"/>
  </r>
  <r>
    <x v="16"/>
    <x v="2"/>
    <x v="0"/>
    <x v="0"/>
    <x v="4"/>
    <x v="4"/>
    <x v="0"/>
    <x v="0"/>
    <x v="1"/>
    <x v="1"/>
  </r>
  <r>
    <x v="17"/>
    <x v="2"/>
    <x v="0"/>
    <x v="0"/>
    <x v="4"/>
    <x v="4"/>
    <x v="0"/>
    <x v="0"/>
    <x v="2"/>
    <x v="2"/>
  </r>
  <r>
    <x v="18"/>
    <x v="3"/>
    <x v="0"/>
    <x v="0"/>
    <x v="4"/>
    <x v="4"/>
    <x v="0"/>
    <x v="0"/>
    <x v="2"/>
    <x v="2"/>
  </r>
  <r>
    <x v="19"/>
    <x v="3"/>
    <x v="0"/>
    <x v="0"/>
    <x v="4"/>
    <x v="4"/>
    <x v="0"/>
    <x v="0"/>
    <x v="15"/>
    <x v="15"/>
  </r>
  <r>
    <x v="20"/>
    <x v="3"/>
    <x v="0"/>
    <x v="0"/>
    <x v="4"/>
    <x v="4"/>
    <x v="0"/>
    <x v="0"/>
    <x v="13"/>
    <x v="13"/>
  </r>
  <r>
    <x v="21"/>
    <x v="3"/>
    <x v="0"/>
    <x v="0"/>
    <x v="4"/>
    <x v="4"/>
    <x v="0"/>
    <x v="0"/>
    <x v="13"/>
    <x v="13"/>
  </r>
  <r>
    <x v="22"/>
    <x v="3"/>
    <x v="0"/>
    <x v="0"/>
    <x v="4"/>
    <x v="4"/>
    <x v="0"/>
    <x v="0"/>
    <x v="13"/>
    <x v="13"/>
  </r>
  <r>
    <x v="23"/>
    <x v="3"/>
    <x v="0"/>
    <x v="0"/>
    <x v="4"/>
    <x v="4"/>
    <x v="0"/>
    <x v="0"/>
    <x v="14"/>
    <x v="14"/>
  </r>
  <r>
    <x v="0"/>
    <x v="0"/>
    <x v="0"/>
    <x v="0"/>
    <x v="5"/>
    <x v="5"/>
    <x v="0"/>
    <x v="0"/>
    <x v="14"/>
    <x v="14"/>
  </r>
  <r>
    <x v="1"/>
    <x v="0"/>
    <x v="0"/>
    <x v="0"/>
    <x v="5"/>
    <x v="5"/>
    <x v="0"/>
    <x v="0"/>
    <x v="14"/>
    <x v="14"/>
  </r>
  <r>
    <x v="2"/>
    <x v="0"/>
    <x v="0"/>
    <x v="0"/>
    <x v="5"/>
    <x v="5"/>
    <x v="0"/>
    <x v="0"/>
    <x v="14"/>
    <x v="14"/>
  </r>
  <r>
    <x v="3"/>
    <x v="0"/>
    <x v="0"/>
    <x v="0"/>
    <x v="5"/>
    <x v="5"/>
    <x v="0"/>
    <x v="0"/>
    <x v="14"/>
    <x v="14"/>
  </r>
  <r>
    <x v="4"/>
    <x v="0"/>
    <x v="0"/>
    <x v="0"/>
    <x v="5"/>
    <x v="5"/>
    <x v="0"/>
    <x v="0"/>
    <x v="14"/>
    <x v="14"/>
  </r>
  <r>
    <x v="5"/>
    <x v="0"/>
    <x v="0"/>
    <x v="0"/>
    <x v="5"/>
    <x v="5"/>
    <x v="0"/>
    <x v="0"/>
    <x v="14"/>
    <x v="14"/>
  </r>
  <r>
    <x v="6"/>
    <x v="1"/>
    <x v="0"/>
    <x v="0"/>
    <x v="5"/>
    <x v="5"/>
    <x v="0"/>
    <x v="0"/>
    <x v="16"/>
    <x v="16"/>
  </r>
  <r>
    <x v="7"/>
    <x v="1"/>
    <x v="0"/>
    <x v="0"/>
    <x v="5"/>
    <x v="5"/>
    <x v="0"/>
    <x v="0"/>
    <x v="16"/>
    <x v="16"/>
  </r>
  <r>
    <x v="8"/>
    <x v="1"/>
    <x v="0"/>
    <x v="0"/>
    <x v="5"/>
    <x v="5"/>
    <x v="0"/>
    <x v="0"/>
    <x v="14"/>
    <x v="14"/>
  </r>
  <r>
    <x v="9"/>
    <x v="1"/>
    <x v="0"/>
    <x v="0"/>
    <x v="5"/>
    <x v="5"/>
    <x v="0"/>
    <x v="0"/>
    <x v="14"/>
    <x v="14"/>
  </r>
  <r>
    <x v="10"/>
    <x v="1"/>
    <x v="0"/>
    <x v="0"/>
    <x v="5"/>
    <x v="5"/>
    <x v="1"/>
    <x v="1"/>
    <x v="13"/>
    <x v="13"/>
  </r>
  <r>
    <x v="11"/>
    <x v="1"/>
    <x v="0"/>
    <x v="0"/>
    <x v="5"/>
    <x v="5"/>
    <x v="1"/>
    <x v="1"/>
    <x v="2"/>
    <x v="2"/>
  </r>
  <r>
    <x v="12"/>
    <x v="2"/>
    <x v="0"/>
    <x v="0"/>
    <x v="5"/>
    <x v="5"/>
    <x v="0"/>
    <x v="0"/>
    <x v="2"/>
    <x v="2"/>
  </r>
  <r>
    <x v="13"/>
    <x v="2"/>
    <x v="0"/>
    <x v="0"/>
    <x v="5"/>
    <x v="5"/>
    <x v="0"/>
    <x v="0"/>
    <x v="1"/>
    <x v="1"/>
  </r>
  <r>
    <x v="14"/>
    <x v="2"/>
    <x v="0"/>
    <x v="0"/>
    <x v="5"/>
    <x v="5"/>
    <x v="0"/>
    <x v="0"/>
    <x v="1"/>
    <x v="1"/>
  </r>
  <r>
    <x v="15"/>
    <x v="2"/>
    <x v="0"/>
    <x v="0"/>
    <x v="5"/>
    <x v="5"/>
    <x v="0"/>
    <x v="0"/>
    <x v="0"/>
    <x v="0"/>
  </r>
  <r>
    <x v="16"/>
    <x v="2"/>
    <x v="0"/>
    <x v="0"/>
    <x v="5"/>
    <x v="5"/>
    <x v="0"/>
    <x v="0"/>
    <x v="0"/>
    <x v="0"/>
  </r>
  <r>
    <x v="17"/>
    <x v="2"/>
    <x v="0"/>
    <x v="0"/>
    <x v="5"/>
    <x v="5"/>
    <x v="0"/>
    <x v="0"/>
    <x v="2"/>
    <x v="2"/>
  </r>
  <r>
    <x v="18"/>
    <x v="3"/>
    <x v="0"/>
    <x v="0"/>
    <x v="5"/>
    <x v="5"/>
    <x v="0"/>
    <x v="0"/>
    <x v="2"/>
    <x v="2"/>
  </r>
  <r>
    <x v="19"/>
    <x v="3"/>
    <x v="0"/>
    <x v="0"/>
    <x v="5"/>
    <x v="5"/>
    <x v="0"/>
    <x v="0"/>
    <x v="13"/>
    <x v="13"/>
  </r>
  <r>
    <x v="20"/>
    <x v="3"/>
    <x v="0"/>
    <x v="0"/>
    <x v="5"/>
    <x v="5"/>
    <x v="0"/>
    <x v="0"/>
    <x v="13"/>
    <x v="13"/>
  </r>
  <r>
    <x v="21"/>
    <x v="3"/>
    <x v="0"/>
    <x v="0"/>
    <x v="5"/>
    <x v="5"/>
    <x v="0"/>
    <x v="0"/>
    <x v="14"/>
    <x v="14"/>
  </r>
  <r>
    <x v="22"/>
    <x v="3"/>
    <x v="0"/>
    <x v="0"/>
    <x v="5"/>
    <x v="5"/>
    <x v="0"/>
    <x v="0"/>
    <x v="14"/>
    <x v="14"/>
  </r>
  <r>
    <x v="23"/>
    <x v="3"/>
    <x v="0"/>
    <x v="0"/>
    <x v="5"/>
    <x v="5"/>
    <x v="0"/>
    <x v="0"/>
    <x v="16"/>
    <x v="16"/>
  </r>
  <r>
    <x v="0"/>
    <x v="0"/>
    <x v="0"/>
    <x v="0"/>
    <x v="6"/>
    <x v="6"/>
    <x v="0"/>
    <x v="0"/>
    <x v="16"/>
    <x v="16"/>
  </r>
  <r>
    <x v="1"/>
    <x v="0"/>
    <x v="0"/>
    <x v="0"/>
    <x v="6"/>
    <x v="6"/>
    <x v="0"/>
    <x v="0"/>
    <x v="18"/>
    <x v="18"/>
  </r>
  <r>
    <x v="2"/>
    <x v="0"/>
    <x v="0"/>
    <x v="0"/>
    <x v="6"/>
    <x v="6"/>
    <x v="0"/>
    <x v="0"/>
    <x v="18"/>
    <x v="18"/>
  </r>
  <r>
    <x v="3"/>
    <x v="0"/>
    <x v="0"/>
    <x v="0"/>
    <x v="6"/>
    <x v="6"/>
    <x v="0"/>
    <x v="0"/>
    <x v="18"/>
    <x v="18"/>
  </r>
  <r>
    <x v="5"/>
    <x v="0"/>
    <x v="0"/>
    <x v="0"/>
    <x v="6"/>
    <x v="6"/>
    <x v="0"/>
    <x v="0"/>
    <x v="18"/>
    <x v="18"/>
  </r>
  <r>
    <x v="6"/>
    <x v="1"/>
    <x v="0"/>
    <x v="0"/>
    <x v="6"/>
    <x v="6"/>
    <x v="0"/>
    <x v="0"/>
    <x v="18"/>
    <x v="18"/>
  </r>
  <r>
    <x v="7"/>
    <x v="1"/>
    <x v="0"/>
    <x v="0"/>
    <x v="6"/>
    <x v="6"/>
    <x v="0"/>
    <x v="0"/>
    <x v="18"/>
    <x v="18"/>
  </r>
  <r>
    <x v="8"/>
    <x v="1"/>
    <x v="0"/>
    <x v="0"/>
    <x v="6"/>
    <x v="6"/>
    <x v="0"/>
    <x v="0"/>
    <x v="16"/>
    <x v="16"/>
  </r>
  <r>
    <x v="9"/>
    <x v="1"/>
    <x v="0"/>
    <x v="0"/>
    <x v="6"/>
    <x v="6"/>
    <x v="0"/>
    <x v="0"/>
    <x v="14"/>
    <x v="14"/>
  </r>
  <r>
    <x v="10"/>
    <x v="1"/>
    <x v="0"/>
    <x v="0"/>
    <x v="6"/>
    <x v="6"/>
    <x v="0"/>
    <x v="0"/>
    <x v="15"/>
    <x v="15"/>
  </r>
  <r>
    <x v="11"/>
    <x v="1"/>
    <x v="0"/>
    <x v="0"/>
    <x v="6"/>
    <x v="6"/>
    <x v="0"/>
    <x v="0"/>
    <x v="15"/>
    <x v="15"/>
  </r>
  <r>
    <x v="12"/>
    <x v="2"/>
    <x v="0"/>
    <x v="0"/>
    <x v="6"/>
    <x v="6"/>
    <x v="0"/>
    <x v="0"/>
    <x v="2"/>
    <x v="2"/>
  </r>
  <r>
    <x v="13"/>
    <x v="2"/>
    <x v="0"/>
    <x v="0"/>
    <x v="6"/>
    <x v="6"/>
    <x v="0"/>
    <x v="0"/>
    <x v="1"/>
    <x v="1"/>
  </r>
  <r>
    <x v="14"/>
    <x v="2"/>
    <x v="0"/>
    <x v="0"/>
    <x v="6"/>
    <x v="6"/>
    <x v="0"/>
    <x v="0"/>
    <x v="1"/>
    <x v="1"/>
  </r>
  <r>
    <x v="15"/>
    <x v="2"/>
    <x v="0"/>
    <x v="0"/>
    <x v="6"/>
    <x v="6"/>
    <x v="0"/>
    <x v="0"/>
    <x v="0"/>
    <x v="0"/>
  </r>
  <r>
    <x v="16"/>
    <x v="2"/>
    <x v="0"/>
    <x v="0"/>
    <x v="6"/>
    <x v="6"/>
    <x v="0"/>
    <x v="0"/>
    <x v="1"/>
    <x v="1"/>
  </r>
  <r>
    <x v="17"/>
    <x v="2"/>
    <x v="0"/>
    <x v="0"/>
    <x v="6"/>
    <x v="6"/>
    <x v="0"/>
    <x v="0"/>
    <x v="1"/>
    <x v="1"/>
  </r>
  <r>
    <x v="18"/>
    <x v="3"/>
    <x v="0"/>
    <x v="0"/>
    <x v="6"/>
    <x v="6"/>
    <x v="0"/>
    <x v="0"/>
    <x v="2"/>
    <x v="2"/>
  </r>
  <r>
    <x v="19"/>
    <x v="3"/>
    <x v="0"/>
    <x v="0"/>
    <x v="6"/>
    <x v="6"/>
    <x v="0"/>
    <x v="0"/>
    <x v="13"/>
    <x v="13"/>
  </r>
  <r>
    <x v="20"/>
    <x v="3"/>
    <x v="0"/>
    <x v="0"/>
    <x v="6"/>
    <x v="6"/>
    <x v="0"/>
    <x v="0"/>
    <x v="15"/>
    <x v="15"/>
  </r>
  <r>
    <x v="21"/>
    <x v="3"/>
    <x v="0"/>
    <x v="0"/>
    <x v="6"/>
    <x v="6"/>
    <x v="0"/>
    <x v="0"/>
    <x v="13"/>
    <x v="13"/>
  </r>
  <r>
    <x v="22"/>
    <x v="3"/>
    <x v="0"/>
    <x v="0"/>
    <x v="6"/>
    <x v="6"/>
    <x v="1"/>
    <x v="1"/>
    <x v="13"/>
    <x v="13"/>
  </r>
  <r>
    <x v="23"/>
    <x v="3"/>
    <x v="0"/>
    <x v="0"/>
    <x v="6"/>
    <x v="6"/>
    <x v="1"/>
    <x v="1"/>
    <x v="15"/>
    <x v="15"/>
  </r>
  <r>
    <x v="0"/>
    <x v="0"/>
    <x v="0"/>
    <x v="0"/>
    <x v="0"/>
    <x v="0"/>
    <x v="0"/>
    <x v="0"/>
    <x v="15"/>
    <x v="15"/>
  </r>
  <r>
    <x v="1"/>
    <x v="0"/>
    <x v="0"/>
    <x v="0"/>
    <x v="0"/>
    <x v="0"/>
    <x v="1"/>
    <x v="1"/>
    <x v="13"/>
    <x v="13"/>
  </r>
  <r>
    <x v="2"/>
    <x v="0"/>
    <x v="0"/>
    <x v="0"/>
    <x v="0"/>
    <x v="0"/>
    <x v="1"/>
    <x v="1"/>
    <x v="13"/>
    <x v="13"/>
  </r>
  <r>
    <x v="3"/>
    <x v="0"/>
    <x v="0"/>
    <x v="0"/>
    <x v="0"/>
    <x v="0"/>
    <x v="1"/>
    <x v="1"/>
    <x v="13"/>
    <x v="13"/>
  </r>
  <r>
    <x v="4"/>
    <x v="0"/>
    <x v="0"/>
    <x v="0"/>
    <x v="0"/>
    <x v="0"/>
    <x v="1"/>
    <x v="1"/>
    <x v="13"/>
    <x v="13"/>
  </r>
  <r>
    <x v="5"/>
    <x v="0"/>
    <x v="0"/>
    <x v="0"/>
    <x v="0"/>
    <x v="0"/>
    <x v="0"/>
    <x v="0"/>
    <x v="13"/>
    <x v="13"/>
  </r>
  <r>
    <x v="6"/>
    <x v="1"/>
    <x v="0"/>
    <x v="0"/>
    <x v="0"/>
    <x v="0"/>
    <x v="0"/>
    <x v="0"/>
    <x v="14"/>
    <x v="14"/>
  </r>
  <r>
    <x v="7"/>
    <x v="1"/>
    <x v="0"/>
    <x v="0"/>
    <x v="0"/>
    <x v="0"/>
    <x v="0"/>
    <x v="0"/>
    <x v="14"/>
    <x v="14"/>
  </r>
  <r>
    <x v="8"/>
    <x v="1"/>
    <x v="0"/>
    <x v="0"/>
    <x v="0"/>
    <x v="0"/>
    <x v="0"/>
    <x v="0"/>
    <x v="14"/>
    <x v="14"/>
  </r>
  <r>
    <x v="9"/>
    <x v="1"/>
    <x v="0"/>
    <x v="0"/>
    <x v="0"/>
    <x v="0"/>
    <x v="0"/>
    <x v="0"/>
    <x v="13"/>
    <x v="13"/>
  </r>
  <r>
    <x v="10"/>
    <x v="1"/>
    <x v="0"/>
    <x v="0"/>
    <x v="0"/>
    <x v="0"/>
    <x v="0"/>
    <x v="0"/>
    <x v="15"/>
    <x v="15"/>
  </r>
  <r>
    <x v="11"/>
    <x v="1"/>
    <x v="0"/>
    <x v="0"/>
    <x v="0"/>
    <x v="0"/>
    <x v="0"/>
    <x v="0"/>
    <x v="2"/>
    <x v="2"/>
  </r>
  <r>
    <x v="12"/>
    <x v="2"/>
    <x v="0"/>
    <x v="0"/>
    <x v="0"/>
    <x v="0"/>
    <x v="0"/>
    <x v="0"/>
    <x v="0"/>
    <x v="0"/>
  </r>
  <r>
    <x v="13"/>
    <x v="2"/>
    <x v="0"/>
    <x v="0"/>
    <x v="0"/>
    <x v="0"/>
    <x v="0"/>
    <x v="0"/>
    <x v="17"/>
    <x v="17"/>
  </r>
  <r>
    <x v="14"/>
    <x v="2"/>
    <x v="0"/>
    <x v="0"/>
    <x v="0"/>
    <x v="0"/>
    <x v="0"/>
    <x v="0"/>
    <x v="11"/>
    <x v="11"/>
  </r>
  <r>
    <x v="15"/>
    <x v="2"/>
    <x v="0"/>
    <x v="0"/>
    <x v="0"/>
    <x v="0"/>
    <x v="1"/>
    <x v="1"/>
    <x v="3"/>
    <x v="3"/>
  </r>
  <r>
    <x v="16"/>
    <x v="2"/>
    <x v="0"/>
    <x v="0"/>
    <x v="0"/>
    <x v="0"/>
    <x v="1"/>
    <x v="1"/>
    <x v="10"/>
    <x v="10"/>
  </r>
  <r>
    <x v="17"/>
    <x v="2"/>
    <x v="0"/>
    <x v="0"/>
    <x v="0"/>
    <x v="0"/>
    <x v="1"/>
    <x v="1"/>
    <x v="3"/>
    <x v="3"/>
  </r>
  <r>
    <x v="18"/>
    <x v="3"/>
    <x v="0"/>
    <x v="0"/>
    <x v="0"/>
    <x v="0"/>
    <x v="1"/>
    <x v="1"/>
    <x v="11"/>
    <x v="11"/>
  </r>
  <r>
    <x v="19"/>
    <x v="3"/>
    <x v="0"/>
    <x v="0"/>
    <x v="0"/>
    <x v="0"/>
    <x v="1"/>
    <x v="1"/>
    <x v="3"/>
    <x v="3"/>
  </r>
  <r>
    <x v="20"/>
    <x v="3"/>
    <x v="0"/>
    <x v="0"/>
    <x v="0"/>
    <x v="0"/>
    <x v="1"/>
    <x v="1"/>
    <x v="3"/>
    <x v="3"/>
  </r>
  <r>
    <x v="21"/>
    <x v="3"/>
    <x v="0"/>
    <x v="0"/>
    <x v="0"/>
    <x v="0"/>
    <x v="1"/>
    <x v="1"/>
    <x v="3"/>
    <x v="3"/>
  </r>
  <r>
    <x v="22"/>
    <x v="3"/>
    <x v="0"/>
    <x v="0"/>
    <x v="0"/>
    <x v="0"/>
    <x v="1"/>
    <x v="1"/>
    <x v="11"/>
    <x v="11"/>
  </r>
  <r>
    <x v="23"/>
    <x v="3"/>
    <x v="0"/>
    <x v="0"/>
    <x v="0"/>
    <x v="0"/>
    <x v="0"/>
    <x v="0"/>
    <x v="11"/>
    <x v="11"/>
  </r>
  <r>
    <x v="0"/>
    <x v="0"/>
    <x v="0"/>
    <x v="0"/>
    <x v="1"/>
    <x v="1"/>
    <x v="0"/>
    <x v="0"/>
    <x v="12"/>
    <x v="12"/>
  </r>
  <r>
    <x v="1"/>
    <x v="0"/>
    <x v="0"/>
    <x v="0"/>
    <x v="1"/>
    <x v="1"/>
    <x v="0"/>
    <x v="0"/>
    <x v="12"/>
    <x v="12"/>
  </r>
  <r>
    <x v="2"/>
    <x v="0"/>
    <x v="0"/>
    <x v="0"/>
    <x v="1"/>
    <x v="1"/>
    <x v="0"/>
    <x v="0"/>
    <x v="12"/>
    <x v="12"/>
  </r>
  <r>
    <x v="3"/>
    <x v="0"/>
    <x v="0"/>
    <x v="0"/>
    <x v="1"/>
    <x v="1"/>
    <x v="0"/>
    <x v="0"/>
    <x v="1"/>
    <x v="1"/>
  </r>
  <r>
    <x v="4"/>
    <x v="0"/>
    <x v="0"/>
    <x v="0"/>
    <x v="1"/>
    <x v="1"/>
    <x v="0"/>
    <x v="0"/>
    <x v="12"/>
    <x v="12"/>
  </r>
  <r>
    <x v="5"/>
    <x v="0"/>
    <x v="0"/>
    <x v="0"/>
    <x v="1"/>
    <x v="1"/>
    <x v="1"/>
    <x v="1"/>
    <x v="12"/>
    <x v="12"/>
  </r>
  <r>
    <x v="6"/>
    <x v="1"/>
    <x v="0"/>
    <x v="0"/>
    <x v="1"/>
    <x v="1"/>
    <x v="1"/>
    <x v="1"/>
    <x v="12"/>
    <x v="12"/>
  </r>
  <r>
    <x v="7"/>
    <x v="1"/>
    <x v="0"/>
    <x v="0"/>
    <x v="1"/>
    <x v="1"/>
    <x v="1"/>
    <x v="1"/>
    <x v="0"/>
    <x v="0"/>
  </r>
  <r>
    <x v="8"/>
    <x v="1"/>
    <x v="0"/>
    <x v="0"/>
    <x v="1"/>
    <x v="1"/>
    <x v="0"/>
    <x v="0"/>
    <x v="1"/>
    <x v="1"/>
  </r>
  <r>
    <x v="9"/>
    <x v="1"/>
    <x v="0"/>
    <x v="0"/>
    <x v="1"/>
    <x v="1"/>
    <x v="0"/>
    <x v="0"/>
    <x v="1"/>
    <x v="1"/>
  </r>
  <r>
    <x v="10"/>
    <x v="1"/>
    <x v="0"/>
    <x v="0"/>
    <x v="1"/>
    <x v="1"/>
    <x v="0"/>
    <x v="0"/>
    <x v="1"/>
    <x v="1"/>
  </r>
  <r>
    <x v="11"/>
    <x v="1"/>
    <x v="0"/>
    <x v="0"/>
    <x v="1"/>
    <x v="1"/>
    <x v="0"/>
    <x v="0"/>
    <x v="0"/>
    <x v="0"/>
  </r>
  <r>
    <x v="12"/>
    <x v="2"/>
    <x v="0"/>
    <x v="0"/>
    <x v="1"/>
    <x v="1"/>
    <x v="0"/>
    <x v="0"/>
    <x v="0"/>
    <x v="0"/>
  </r>
  <r>
    <x v="13"/>
    <x v="2"/>
    <x v="0"/>
    <x v="0"/>
    <x v="1"/>
    <x v="1"/>
    <x v="0"/>
    <x v="0"/>
    <x v="12"/>
    <x v="12"/>
  </r>
  <r>
    <x v="14"/>
    <x v="2"/>
    <x v="0"/>
    <x v="0"/>
    <x v="1"/>
    <x v="1"/>
    <x v="0"/>
    <x v="0"/>
    <x v="17"/>
    <x v="17"/>
  </r>
  <r>
    <x v="15"/>
    <x v="2"/>
    <x v="0"/>
    <x v="0"/>
    <x v="1"/>
    <x v="1"/>
    <x v="0"/>
    <x v="0"/>
    <x v="12"/>
    <x v="12"/>
  </r>
  <r>
    <x v="16"/>
    <x v="2"/>
    <x v="0"/>
    <x v="0"/>
    <x v="1"/>
    <x v="1"/>
    <x v="0"/>
    <x v="0"/>
    <x v="0"/>
    <x v="0"/>
  </r>
  <r>
    <x v="17"/>
    <x v="2"/>
    <x v="0"/>
    <x v="0"/>
    <x v="1"/>
    <x v="1"/>
    <x v="0"/>
    <x v="0"/>
    <x v="1"/>
    <x v="1"/>
  </r>
  <r>
    <x v="18"/>
    <x v="3"/>
    <x v="0"/>
    <x v="0"/>
    <x v="1"/>
    <x v="1"/>
    <x v="0"/>
    <x v="0"/>
    <x v="2"/>
    <x v="2"/>
  </r>
  <r>
    <x v="19"/>
    <x v="3"/>
    <x v="0"/>
    <x v="0"/>
    <x v="1"/>
    <x v="1"/>
    <x v="0"/>
    <x v="0"/>
    <x v="15"/>
    <x v="15"/>
  </r>
  <r>
    <x v="20"/>
    <x v="3"/>
    <x v="0"/>
    <x v="0"/>
    <x v="1"/>
    <x v="1"/>
    <x v="0"/>
    <x v="0"/>
    <x v="15"/>
    <x v="15"/>
  </r>
  <r>
    <x v="21"/>
    <x v="3"/>
    <x v="0"/>
    <x v="0"/>
    <x v="1"/>
    <x v="1"/>
    <x v="0"/>
    <x v="0"/>
    <x v="15"/>
    <x v="15"/>
  </r>
  <r>
    <x v="22"/>
    <x v="3"/>
    <x v="0"/>
    <x v="0"/>
    <x v="1"/>
    <x v="1"/>
    <x v="1"/>
    <x v="1"/>
    <x v="2"/>
    <x v="2"/>
  </r>
  <r>
    <x v="23"/>
    <x v="3"/>
    <x v="0"/>
    <x v="0"/>
    <x v="1"/>
    <x v="1"/>
    <x v="1"/>
    <x v="1"/>
    <x v="2"/>
    <x v="2"/>
  </r>
  <r>
    <x v="0"/>
    <x v="0"/>
    <x v="1"/>
    <x v="1"/>
    <x v="2"/>
    <x v="2"/>
    <x v="1"/>
    <x v="1"/>
    <x v="2"/>
    <x v="2"/>
  </r>
  <r>
    <x v="1"/>
    <x v="0"/>
    <x v="1"/>
    <x v="1"/>
    <x v="2"/>
    <x v="2"/>
    <x v="1"/>
    <x v="1"/>
    <x v="2"/>
    <x v="2"/>
  </r>
  <r>
    <x v="2"/>
    <x v="0"/>
    <x v="1"/>
    <x v="1"/>
    <x v="2"/>
    <x v="2"/>
    <x v="1"/>
    <x v="1"/>
    <x v="15"/>
    <x v="15"/>
  </r>
  <r>
    <x v="3"/>
    <x v="0"/>
    <x v="1"/>
    <x v="1"/>
    <x v="2"/>
    <x v="2"/>
    <x v="1"/>
    <x v="1"/>
    <x v="15"/>
    <x v="15"/>
  </r>
  <r>
    <x v="4"/>
    <x v="0"/>
    <x v="1"/>
    <x v="1"/>
    <x v="2"/>
    <x v="2"/>
    <x v="1"/>
    <x v="1"/>
    <x v="15"/>
    <x v="15"/>
  </r>
  <r>
    <x v="5"/>
    <x v="0"/>
    <x v="1"/>
    <x v="1"/>
    <x v="2"/>
    <x v="2"/>
    <x v="1"/>
    <x v="1"/>
    <x v="15"/>
    <x v="15"/>
  </r>
  <r>
    <x v="6"/>
    <x v="1"/>
    <x v="1"/>
    <x v="1"/>
    <x v="2"/>
    <x v="2"/>
    <x v="1"/>
    <x v="1"/>
    <x v="15"/>
    <x v="15"/>
  </r>
  <r>
    <x v="7"/>
    <x v="1"/>
    <x v="1"/>
    <x v="1"/>
    <x v="2"/>
    <x v="2"/>
    <x v="1"/>
    <x v="1"/>
    <x v="13"/>
    <x v="13"/>
  </r>
  <r>
    <x v="8"/>
    <x v="1"/>
    <x v="1"/>
    <x v="1"/>
    <x v="2"/>
    <x v="2"/>
    <x v="1"/>
    <x v="1"/>
    <x v="13"/>
    <x v="13"/>
  </r>
  <r>
    <x v="9"/>
    <x v="1"/>
    <x v="1"/>
    <x v="1"/>
    <x v="2"/>
    <x v="2"/>
    <x v="1"/>
    <x v="1"/>
    <x v="13"/>
    <x v="13"/>
  </r>
  <r>
    <x v="10"/>
    <x v="1"/>
    <x v="1"/>
    <x v="1"/>
    <x v="2"/>
    <x v="2"/>
    <x v="1"/>
    <x v="1"/>
    <x v="13"/>
    <x v="13"/>
  </r>
  <r>
    <x v="11"/>
    <x v="1"/>
    <x v="1"/>
    <x v="1"/>
    <x v="2"/>
    <x v="2"/>
    <x v="1"/>
    <x v="1"/>
    <x v="13"/>
    <x v="13"/>
  </r>
  <r>
    <x v="12"/>
    <x v="2"/>
    <x v="1"/>
    <x v="1"/>
    <x v="2"/>
    <x v="2"/>
    <x v="1"/>
    <x v="1"/>
    <x v="15"/>
    <x v="15"/>
  </r>
  <r>
    <x v="13"/>
    <x v="2"/>
    <x v="1"/>
    <x v="1"/>
    <x v="2"/>
    <x v="2"/>
    <x v="1"/>
    <x v="1"/>
    <x v="15"/>
    <x v="15"/>
  </r>
  <r>
    <x v="14"/>
    <x v="2"/>
    <x v="1"/>
    <x v="1"/>
    <x v="2"/>
    <x v="2"/>
    <x v="1"/>
    <x v="1"/>
    <x v="15"/>
    <x v="15"/>
  </r>
  <r>
    <x v="15"/>
    <x v="2"/>
    <x v="1"/>
    <x v="1"/>
    <x v="2"/>
    <x v="2"/>
    <x v="1"/>
    <x v="1"/>
    <x v="2"/>
    <x v="2"/>
  </r>
  <r>
    <x v="16"/>
    <x v="2"/>
    <x v="1"/>
    <x v="1"/>
    <x v="2"/>
    <x v="2"/>
    <x v="1"/>
    <x v="1"/>
    <x v="2"/>
    <x v="2"/>
  </r>
  <r>
    <x v="17"/>
    <x v="2"/>
    <x v="1"/>
    <x v="1"/>
    <x v="2"/>
    <x v="2"/>
    <x v="0"/>
    <x v="0"/>
    <x v="2"/>
    <x v="2"/>
  </r>
  <r>
    <x v="18"/>
    <x v="3"/>
    <x v="1"/>
    <x v="1"/>
    <x v="2"/>
    <x v="2"/>
    <x v="1"/>
    <x v="1"/>
    <x v="15"/>
    <x v="15"/>
  </r>
  <r>
    <x v="19"/>
    <x v="3"/>
    <x v="1"/>
    <x v="1"/>
    <x v="2"/>
    <x v="2"/>
    <x v="2"/>
    <x v="2"/>
    <x v="15"/>
    <x v="15"/>
  </r>
  <r>
    <x v="20"/>
    <x v="3"/>
    <x v="1"/>
    <x v="1"/>
    <x v="2"/>
    <x v="2"/>
    <x v="2"/>
    <x v="2"/>
    <x v="13"/>
    <x v="13"/>
  </r>
  <r>
    <x v="21"/>
    <x v="3"/>
    <x v="1"/>
    <x v="1"/>
    <x v="2"/>
    <x v="2"/>
    <x v="2"/>
    <x v="2"/>
    <x v="13"/>
    <x v="13"/>
  </r>
  <r>
    <x v="22"/>
    <x v="3"/>
    <x v="1"/>
    <x v="1"/>
    <x v="2"/>
    <x v="2"/>
    <x v="2"/>
    <x v="2"/>
    <x v="14"/>
    <x v="14"/>
  </r>
  <r>
    <x v="23"/>
    <x v="3"/>
    <x v="1"/>
    <x v="1"/>
    <x v="2"/>
    <x v="2"/>
    <x v="2"/>
    <x v="2"/>
    <x v="13"/>
    <x v="13"/>
  </r>
  <r>
    <x v="12"/>
    <x v="2"/>
    <x v="0"/>
    <x v="0"/>
    <x v="3"/>
    <x v="3"/>
    <x v="1"/>
    <x v="1"/>
    <x v="2"/>
    <x v="2"/>
  </r>
  <r>
    <x v="13"/>
    <x v="2"/>
    <x v="0"/>
    <x v="0"/>
    <x v="3"/>
    <x v="3"/>
    <x v="1"/>
    <x v="1"/>
    <x v="2"/>
    <x v="2"/>
  </r>
  <r>
    <x v="14"/>
    <x v="2"/>
    <x v="0"/>
    <x v="0"/>
    <x v="3"/>
    <x v="3"/>
    <x v="1"/>
    <x v="1"/>
    <x v="1"/>
    <x v="1"/>
  </r>
  <r>
    <x v="15"/>
    <x v="2"/>
    <x v="0"/>
    <x v="0"/>
    <x v="3"/>
    <x v="3"/>
    <x v="1"/>
    <x v="1"/>
    <x v="1"/>
    <x v="1"/>
  </r>
  <r>
    <x v="16"/>
    <x v="2"/>
    <x v="0"/>
    <x v="0"/>
    <x v="3"/>
    <x v="3"/>
    <x v="1"/>
    <x v="1"/>
    <x v="1"/>
    <x v="1"/>
  </r>
  <r>
    <x v="17"/>
    <x v="2"/>
    <x v="0"/>
    <x v="0"/>
    <x v="3"/>
    <x v="3"/>
    <x v="1"/>
    <x v="1"/>
    <x v="1"/>
    <x v="1"/>
  </r>
  <r>
    <x v="18"/>
    <x v="3"/>
    <x v="0"/>
    <x v="0"/>
    <x v="3"/>
    <x v="3"/>
    <x v="1"/>
    <x v="1"/>
    <x v="1"/>
    <x v="1"/>
  </r>
  <r>
    <x v="19"/>
    <x v="3"/>
    <x v="0"/>
    <x v="0"/>
    <x v="3"/>
    <x v="3"/>
    <x v="1"/>
    <x v="1"/>
    <x v="1"/>
    <x v="1"/>
  </r>
  <r>
    <x v="20"/>
    <x v="3"/>
    <x v="0"/>
    <x v="0"/>
    <x v="3"/>
    <x v="3"/>
    <x v="1"/>
    <x v="1"/>
    <x v="1"/>
    <x v="1"/>
  </r>
  <r>
    <x v="21"/>
    <x v="3"/>
    <x v="0"/>
    <x v="0"/>
    <x v="3"/>
    <x v="3"/>
    <x v="1"/>
    <x v="1"/>
    <x v="1"/>
    <x v="1"/>
  </r>
  <r>
    <x v="22"/>
    <x v="3"/>
    <x v="0"/>
    <x v="0"/>
    <x v="3"/>
    <x v="3"/>
    <x v="1"/>
    <x v="1"/>
    <x v="1"/>
    <x v="1"/>
  </r>
  <r>
    <x v="23"/>
    <x v="3"/>
    <x v="0"/>
    <x v="0"/>
    <x v="3"/>
    <x v="3"/>
    <x v="1"/>
    <x v="1"/>
    <x v="1"/>
    <x v="1"/>
  </r>
  <r>
    <x v="0"/>
    <x v="0"/>
    <x v="0"/>
    <x v="0"/>
    <x v="4"/>
    <x v="4"/>
    <x v="1"/>
    <x v="1"/>
    <x v="1"/>
    <x v="1"/>
  </r>
  <r>
    <x v="1"/>
    <x v="0"/>
    <x v="0"/>
    <x v="0"/>
    <x v="4"/>
    <x v="4"/>
    <x v="2"/>
    <x v="2"/>
    <x v="1"/>
    <x v="1"/>
  </r>
  <r>
    <x v="2"/>
    <x v="0"/>
    <x v="0"/>
    <x v="0"/>
    <x v="4"/>
    <x v="4"/>
    <x v="2"/>
    <x v="2"/>
    <x v="1"/>
    <x v="1"/>
  </r>
  <r>
    <x v="4"/>
    <x v="0"/>
    <x v="0"/>
    <x v="0"/>
    <x v="4"/>
    <x v="4"/>
    <x v="2"/>
    <x v="2"/>
    <x v="1"/>
    <x v="1"/>
  </r>
  <r>
    <x v="5"/>
    <x v="0"/>
    <x v="0"/>
    <x v="0"/>
    <x v="4"/>
    <x v="4"/>
    <x v="1"/>
    <x v="1"/>
    <x v="1"/>
    <x v="1"/>
  </r>
  <r>
    <x v="6"/>
    <x v="1"/>
    <x v="0"/>
    <x v="0"/>
    <x v="4"/>
    <x v="4"/>
    <x v="1"/>
    <x v="1"/>
    <x v="1"/>
    <x v="1"/>
  </r>
  <r>
    <x v="7"/>
    <x v="1"/>
    <x v="0"/>
    <x v="0"/>
    <x v="4"/>
    <x v="4"/>
    <x v="1"/>
    <x v="1"/>
    <x v="0"/>
    <x v="0"/>
  </r>
  <r>
    <x v="8"/>
    <x v="1"/>
    <x v="0"/>
    <x v="0"/>
    <x v="4"/>
    <x v="4"/>
    <x v="1"/>
    <x v="1"/>
    <x v="0"/>
    <x v="0"/>
  </r>
  <r>
    <x v="9"/>
    <x v="1"/>
    <x v="0"/>
    <x v="0"/>
    <x v="4"/>
    <x v="4"/>
    <x v="1"/>
    <x v="1"/>
    <x v="0"/>
    <x v="0"/>
  </r>
  <r>
    <x v="10"/>
    <x v="1"/>
    <x v="0"/>
    <x v="0"/>
    <x v="4"/>
    <x v="4"/>
    <x v="1"/>
    <x v="1"/>
    <x v="12"/>
    <x v="12"/>
  </r>
  <r>
    <x v="11"/>
    <x v="1"/>
    <x v="0"/>
    <x v="0"/>
    <x v="4"/>
    <x v="4"/>
    <x v="1"/>
    <x v="1"/>
    <x v="17"/>
    <x v="17"/>
  </r>
  <r>
    <x v="12"/>
    <x v="2"/>
    <x v="0"/>
    <x v="0"/>
    <x v="4"/>
    <x v="4"/>
    <x v="1"/>
    <x v="1"/>
    <x v="11"/>
    <x v="11"/>
  </r>
  <r>
    <x v="13"/>
    <x v="2"/>
    <x v="0"/>
    <x v="0"/>
    <x v="4"/>
    <x v="4"/>
    <x v="0"/>
    <x v="0"/>
    <x v="9"/>
    <x v="9"/>
  </r>
  <r>
    <x v="14"/>
    <x v="2"/>
    <x v="0"/>
    <x v="0"/>
    <x v="4"/>
    <x v="4"/>
    <x v="0"/>
    <x v="0"/>
    <x v="9"/>
    <x v="9"/>
  </r>
  <r>
    <x v="15"/>
    <x v="2"/>
    <x v="0"/>
    <x v="0"/>
    <x v="4"/>
    <x v="4"/>
    <x v="0"/>
    <x v="0"/>
    <x v="9"/>
    <x v="9"/>
  </r>
  <r>
    <x v="16"/>
    <x v="2"/>
    <x v="0"/>
    <x v="0"/>
    <x v="4"/>
    <x v="4"/>
    <x v="0"/>
    <x v="0"/>
    <x v="4"/>
    <x v="4"/>
  </r>
  <r>
    <x v="17"/>
    <x v="2"/>
    <x v="0"/>
    <x v="0"/>
    <x v="4"/>
    <x v="4"/>
    <x v="0"/>
    <x v="0"/>
    <x v="5"/>
    <x v="5"/>
  </r>
  <r>
    <x v="18"/>
    <x v="3"/>
    <x v="0"/>
    <x v="0"/>
    <x v="4"/>
    <x v="4"/>
    <x v="0"/>
    <x v="0"/>
    <x v="10"/>
    <x v="10"/>
  </r>
  <r>
    <x v="19"/>
    <x v="3"/>
    <x v="0"/>
    <x v="0"/>
    <x v="4"/>
    <x v="4"/>
    <x v="0"/>
    <x v="0"/>
    <x v="3"/>
    <x v="3"/>
  </r>
  <r>
    <x v="20"/>
    <x v="3"/>
    <x v="0"/>
    <x v="0"/>
    <x v="4"/>
    <x v="4"/>
    <x v="0"/>
    <x v="0"/>
    <x v="3"/>
    <x v="3"/>
  </r>
  <r>
    <x v="21"/>
    <x v="3"/>
    <x v="0"/>
    <x v="0"/>
    <x v="4"/>
    <x v="4"/>
    <x v="0"/>
    <x v="0"/>
    <x v="3"/>
    <x v="3"/>
  </r>
  <r>
    <x v="22"/>
    <x v="3"/>
    <x v="0"/>
    <x v="0"/>
    <x v="4"/>
    <x v="4"/>
    <x v="0"/>
    <x v="0"/>
    <x v="11"/>
    <x v="11"/>
  </r>
  <r>
    <x v="23"/>
    <x v="3"/>
    <x v="0"/>
    <x v="0"/>
    <x v="4"/>
    <x v="4"/>
    <x v="0"/>
    <x v="0"/>
    <x v="11"/>
    <x v="11"/>
  </r>
  <r>
    <x v="0"/>
    <x v="0"/>
    <x v="0"/>
    <x v="0"/>
    <x v="5"/>
    <x v="5"/>
    <x v="0"/>
    <x v="0"/>
    <x v="12"/>
    <x v="12"/>
  </r>
  <r>
    <x v="1"/>
    <x v="0"/>
    <x v="0"/>
    <x v="0"/>
    <x v="5"/>
    <x v="5"/>
    <x v="0"/>
    <x v="0"/>
    <x v="12"/>
    <x v="12"/>
  </r>
  <r>
    <x v="2"/>
    <x v="0"/>
    <x v="0"/>
    <x v="0"/>
    <x v="5"/>
    <x v="5"/>
    <x v="0"/>
    <x v="0"/>
    <x v="12"/>
    <x v="12"/>
  </r>
  <r>
    <x v="3"/>
    <x v="0"/>
    <x v="0"/>
    <x v="0"/>
    <x v="5"/>
    <x v="5"/>
    <x v="0"/>
    <x v="0"/>
    <x v="12"/>
    <x v="12"/>
  </r>
  <r>
    <x v="4"/>
    <x v="0"/>
    <x v="0"/>
    <x v="0"/>
    <x v="5"/>
    <x v="5"/>
    <x v="0"/>
    <x v="0"/>
    <x v="12"/>
    <x v="12"/>
  </r>
  <r>
    <x v="5"/>
    <x v="0"/>
    <x v="0"/>
    <x v="0"/>
    <x v="5"/>
    <x v="5"/>
    <x v="0"/>
    <x v="0"/>
    <x v="0"/>
    <x v="0"/>
  </r>
  <r>
    <x v="6"/>
    <x v="1"/>
    <x v="0"/>
    <x v="0"/>
    <x v="5"/>
    <x v="5"/>
    <x v="0"/>
    <x v="0"/>
    <x v="1"/>
    <x v="1"/>
  </r>
  <r>
    <x v="7"/>
    <x v="1"/>
    <x v="0"/>
    <x v="0"/>
    <x v="5"/>
    <x v="5"/>
    <x v="0"/>
    <x v="0"/>
    <x v="1"/>
    <x v="1"/>
  </r>
  <r>
    <x v="8"/>
    <x v="1"/>
    <x v="0"/>
    <x v="0"/>
    <x v="5"/>
    <x v="5"/>
    <x v="0"/>
    <x v="0"/>
    <x v="1"/>
    <x v="1"/>
  </r>
  <r>
    <x v="9"/>
    <x v="1"/>
    <x v="0"/>
    <x v="0"/>
    <x v="5"/>
    <x v="5"/>
    <x v="1"/>
    <x v="1"/>
    <x v="0"/>
    <x v="0"/>
  </r>
  <r>
    <x v="10"/>
    <x v="1"/>
    <x v="0"/>
    <x v="0"/>
    <x v="5"/>
    <x v="5"/>
    <x v="0"/>
    <x v="0"/>
    <x v="12"/>
    <x v="12"/>
  </r>
  <r>
    <x v="11"/>
    <x v="1"/>
    <x v="0"/>
    <x v="0"/>
    <x v="5"/>
    <x v="5"/>
    <x v="1"/>
    <x v="1"/>
    <x v="17"/>
    <x v="17"/>
  </r>
  <r>
    <x v="12"/>
    <x v="2"/>
    <x v="0"/>
    <x v="0"/>
    <x v="5"/>
    <x v="5"/>
    <x v="1"/>
    <x v="1"/>
    <x v="11"/>
    <x v="11"/>
  </r>
  <r>
    <x v="13"/>
    <x v="2"/>
    <x v="0"/>
    <x v="0"/>
    <x v="5"/>
    <x v="5"/>
    <x v="1"/>
    <x v="1"/>
    <x v="17"/>
    <x v="17"/>
  </r>
  <r>
    <x v="14"/>
    <x v="2"/>
    <x v="0"/>
    <x v="0"/>
    <x v="5"/>
    <x v="5"/>
    <x v="1"/>
    <x v="1"/>
    <x v="11"/>
    <x v="11"/>
  </r>
  <r>
    <x v="15"/>
    <x v="2"/>
    <x v="0"/>
    <x v="0"/>
    <x v="5"/>
    <x v="5"/>
    <x v="1"/>
    <x v="1"/>
    <x v="3"/>
    <x v="3"/>
  </r>
  <r>
    <x v="16"/>
    <x v="2"/>
    <x v="0"/>
    <x v="0"/>
    <x v="5"/>
    <x v="5"/>
    <x v="1"/>
    <x v="1"/>
    <x v="11"/>
    <x v="11"/>
  </r>
  <r>
    <x v="17"/>
    <x v="2"/>
    <x v="0"/>
    <x v="0"/>
    <x v="5"/>
    <x v="5"/>
    <x v="1"/>
    <x v="1"/>
    <x v="11"/>
    <x v="11"/>
  </r>
  <r>
    <x v="18"/>
    <x v="3"/>
    <x v="0"/>
    <x v="0"/>
    <x v="5"/>
    <x v="5"/>
    <x v="1"/>
    <x v="1"/>
    <x v="12"/>
    <x v="12"/>
  </r>
  <r>
    <x v="19"/>
    <x v="3"/>
    <x v="0"/>
    <x v="0"/>
    <x v="5"/>
    <x v="5"/>
    <x v="0"/>
    <x v="0"/>
    <x v="12"/>
    <x v="12"/>
  </r>
  <r>
    <x v="20"/>
    <x v="3"/>
    <x v="0"/>
    <x v="0"/>
    <x v="5"/>
    <x v="5"/>
    <x v="1"/>
    <x v="1"/>
    <x v="12"/>
    <x v="12"/>
  </r>
  <r>
    <x v="21"/>
    <x v="3"/>
    <x v="0"/>
    <x v="0"/>
    <x v="5"/>
    <x v="5"/>
    <x v="1"/>
    <x v="1"/>
    <x v="0"/>
    <x v="0"/>
  </r>
  <r>
    <x v="22"/>
    <x v="3"/>
    <x v="0"/>
    <x v="0"/>
    <x v="5"/>
    <x v="5"/>
    <x v="1"/>
    <x v="1"/>
    <x v="0"/>
    <x v="0"/>
  </r>
  <r>
    <x v="23"/>
    <x v="3"/>
    <x v="0"/>
    <x v="0"/>
    <x v="5"/>
    <x v="5"/>
    <x v="1"/>
    <x v="1"/>
    <x v="0"/>
    <x v="0"/>
  </r>
  <r>
    <x v="0"/>
    <x v="0"/>
    <x v="0"/>
    <x v="0"/>
    <x v="6"/>
    <x v="6"/>
    <x v="1"/>
    <x v="1"/>
    <x v="0"/>
    <x v="0"/>
  </r>
  <r>
    <x v="1"/>
    <x v="0"/>
    <x v="0"/>
    <x v="0"/>
    <x v="6"/>
    <x v="6"/>
    <x v="1"/>
    <x v="1"/>
    <x v="0"/>
    <x v="0"/>
  </r>
  <r>
    <x v="2"/>
    <x v="0"/>
    <x v="0"/>
    <x v="0"/>
    <x v="6"/>
    <x v="6"/>
    <x v="2"/>
    <x v="2"/>
    <x v="0"/>
    <x v="0"/>
  </r>
  <r>
    <x v="3"/>
    <x v="0"/>
    <x v="0"/>
    <x v="0"/>
    <x v="6"/>
    <x v="6"/>
    <x v="2"/>
    <x v="2"/>
    <x v="1"/>
    <x v="1"/>
  </r>
  <r>
    <x v="4"/>
    <x v="0"/>
    <x v="0"/>
    <x v="0"/>
    <x v="6"/>
    <x v="6"/>
    <x v="1"/>
    <x v="1"/>
    <x v="1"/>
    <x v="1"/>
  </r>
  <r>
    <x v="5"/>
    <x v="0"/>
    <x v="0"/>
    <x v="0"/>
    <x v="6"/>
    <x v="6"/>
    <x v="0"/>
    <x v="0"/>
    <x v="0"/>
    <x v="0"/>
  </r>
  <r>
    <x v="6"/>
    <x v="1"/>
    <x v="0"/>
    <x v="0"/>
    <x v="6"/>
    <x v="6"/>
    <x v="0"/>
    <x v="0"/>
    <x v="1"/>
    <x v="1"/>
  </r>
  <r>
    <x v="7"/>
    <x v="1"/>
    <x v="0"/>
    <x v="0"/>
    <x v="6"/>
    <x v="6"/>
    <x v="0"/>
    <x v="0"/>
    <x v="2"/>
    <x v="2"/>
  </r>
  <r>
    <x v="8"/>
    <x v="1"/>
    <x v="0"/>
    <x v="0"/>
    <x v="6"/>
    <x v="6"/>
    <x v="0"/>
    <x v="0"/>
    <x v="2"/>
    <x v="2"/>
  </r>
  <r>
    <x v="9"/>
    <x v="1"/>
    <x v="0"/>
    <x v="0"/>
    <x v="6"/>
    <x v="6"/>
    <x v="0"/>
    <x v="0"/>
    <x v="2"/>
    <x v="2"/>
  </r>
  <r>
    <x v="10"/>
    <x v="1"/>
    <x v="0"/>
    <x v="0"/>
    <x v="6"/>
    <x v="6"/>
    <x v="0"/>
    <x v="0"/>
    <x v="2"/>
    <x v="2"/>
  </r>
  <r>
    <x v="11"/>
    <x v="1"/>
    <x v="0"/>
    <x v="0"/>
    <x v="6"/>
    <x v="6"/>
    <x v="0"/>
    <x v="0"/>
    <x v="1"/>
    <x v="1"/>
  </r>
  <r>
    <x v="12"/>
    <x v="2"/>
    <x v="0"/>
    <x v="0"/>
    <x v="6"/>
    <x v="6"/>
    <x v="0"/>
    <x v="0"/>
    <x v="1"/>
    <x v="1"/>
  </r>
  <r>
    <x v="13"/>
    <x v="2"/>
    <x v="0"/>
    <x v="0"/>
    <x v="6"/>
    <x v="6"/>
    <x v="0"/>
    <x v="0"/>
    <x v="2"/>
    <x v="2"/>
  </r>
  <r>
    <x v="14"/>
    <x v="2"/>
    <x v="0"/>
    <x v="0"/>
    <x v="6"/>
    <x v="6"/>
    <x v="0"/>
    <x v="0"/>
    <x v="2"/>
    <x v="2"/>
  </r>
  <r>
    <x v="15"/>
    <x v="2"/>
    <x v="0"/>
    <x v="0"/>
    <x v="6"/>
    <x v="6"/>
    <x v="0"/>
    <x v="0"/>
    <x v="13"/>
    <x v="13"/>
  </r>
  <r>
    <x v="16"/>
    <x v="2"/>
    <x v="0"/>
    <x v="0"/>
    <x v="6"/>
    <x v="6"/>
    <x v="0"/>
    <x v="0"/>
    <x v="13"/>
    <x v="13"/>
  </r>
  <r>
    <x v="17"/>
    <x v="2"/>
    <x v="0"/>
    <x v="0"/>
    <x v="6"/>
    <x v="6"/>
    <x v="0"/>
    <x v="0"/>
    <x v="14"/>
    <x v="14"/>
  </r>
  <r>
    <x v="18"/>
    <x v="3"/>
    <x v="0"/>
    <x v="0"/>
    <x v="6"/>
    <x v="6"/>
    <x v="0"/>
    <x v="0"/>
    <x v="16"/>
    <x v="16"/>
  </r>
  <r>
    <x v="19"/>
    <x v="3"/>
    <x v="0"/>
    <x v="0"/>
    <x v="6"/>
    <x v="6"/>
    <x v="0"/>
    <x v="0"/>
    <x v="16"/>
    <x v="16"/>
  </r>
  <r>
    <x v="20"/>
    <x v="3"/>
    <x v="0"/>
    <x v="0"/>
    <x v="6"/>
    <x v="6"/>
    <x v="0"/>
    <x v="0"/>
    <x v="18"/>
    <x v="18"/>
  </r>
  <r>
    <x v="21"/>
    <x v="3"/>
    <x v="0"/>
    <x v="0"/>
    <x v="6"/>
    <x v="6"/>
    <x v="0"/>
    <x v="0"/>
    <x v="19"/>
    <x v="19"/>
  </r>
  <r>
    <x v="22"/>
    <x v="3"/>
    <x v="0"/>
    <x v="0"/>
    <x v="6"/>
    <x v="6"/>
    <x v="0"/>
    <x v="0"/>
    <x v="20"/>
    <x v="20"/>
  </r>
  <r>
    <x v="23"/>
    <x v="3"/>
    <x v="0"/>
    <x v="0"/>
    <x v="6"/>
    <x v="6"/>
    <x v="0"/>
    <x v="0"/>
    <x v="20"/>
    <x v="20"/>
  </r>
  <r>
    <x v="0"/>
    <x v="0"/>
    <x v="0"/>
    <x v="0"/>
    <x v="0"/>
    <x v="0"/>
    <x v="0"/>
    <x v="0"/>
    <x v="21"/>
    <x v="21"/>
  </r>
  <r>
    <x v="1"/>
    <x v="0"/>
    <x v="0"/>
    <x v="0"/>
    <x v="0"/>
    <x v="0"/>
    <x v="1"/>
    <x v="1"/>
    <x v="21"/>
    <x v="21"/>
  </r>
  <r>
    <x v="2"/>
    <x v="0"/>
    <x v="0"/>
    <x v="0"/>
    <x v="0"/>
    <x v="0"/>
    <x v="1"/>
    <x v="1"/>
    <x v="21"/>
    <x v="21"/>
  </r>
  <r>
    <x v="3"/>
    <x v="0"/>
    <x v="0"/>
    <x v="0"/>
    <x v="0"/>
    <x v="0"/>
    <x v="1"/>
    <x v="1"/>
    <x v="21"/>
    <x v="21"/>
  </r>
  <r>
    <x v="4"/>
    <x v="0"/>
    <x v="0"/>
    <x v="0"/>
    <x v="0"/>
    <x v="0"/>
    <x v="1"/>
    <x v="1"/>
    <x v="22"/>
    <x v="22"/>
  </r>
  <r>
    <x v="6"/>
    <x v="1"/>
    <x v="0"/>
    <x v="0"/>
    <x v="0"/>
    <x v="0"/>
    <x v="1"/>
    <x v="1"/>
    <x v="22"/>
    <x v="22"/>
  </r>
  <r>
    <x v="7"/>
    <x v="1"/>
    <x v="0"/>
    <x v="0"/>
    <x v="0"/>
    <x v="0"/>
    <x v="0"/>
    <x v="0"/>
    <x v="22"/>
    <x v="22"/>
  </r>
  <r>
    <x v="8"/>
    <x v="1"/>
    <x v="0"/>
    <x v="0"/>
    <x v="0"/>
    <x v="0"/>
    <x v="0"/>
    <x v="0"/>
    <x v="22"/>
    <x v="22"/>
  </r>
  <r>
    <x v="9"/>
    <x v="1"/>
    <x v="0"/>
    <x v="0"/>
    <x v="0"/>
    <x v="0"/>
    <x v="0"/>
    <x v="0"/>
    <x v="21"/>
    <x v="21"/>
  </r>
  <r>
    <x v="10"/>
    <x v="1"/>
    <x v="0"/>
    <x v="0"/>
    <x v="0"/>
    <x v="0"/>
    <x v="1"/>
    <x v="1"/>
    <x v="21"/>
    <x v="21"/>
  </r>
  <r>
    <x v="11"/>
    <x v="1"/>
    <x v="0"/>
    <x v="0"/>
    <x v="0"/>
    <x v="0"/>
    <x v="1"/>
    <x v="1"/>
    <x v="20"/>
    <x v="20"/>
  </r>
  <r>
    <x v="12"/>
    <x v="2"/>
    <x v="0"/>
    <x v="0"/>
    <x v="0"/>
    <x v="0"/>
    <x v="1"/>
    <x v="1"/>
    <x v="20"/>
    <x v="20"/>
  </r>
  <r>
    <x v="13"/>
    <x v="2"/>
    <x v="0"/>
    <x v="0"/>
    <x v="0"/>
    <x v="0"/>
    <x v="0"/>
    <x v="0"/>
    <x v="19"/>
    <x v="19"/>
  </r>
  <r>
    <x v="14"/>
    <x v="2"/>
    <x v="0"/>
    <x v="0"/>
    <x v="0"/>
    <x v="0"/>
    <x v="0"/>
    <x v="0"/>
    <x v="18"/>
    <x v="18"/>
  </r>
  <r>
    <x v="15"/>
    <x v="2"/>
    <x v="0"/>
    <x v="0"/>
    <x v="0"/>
    <x v="0"/>
    <x v="0"/>
    <x v="0"/>
    <x v="16"/>
    <x v="16"/>
  </r>
  <r>
    <x v="16"/>
    <x v="2"/>
    <x v="0"/>
    <x v="0"/>
    <x v="0"/>
    <x v="0"/>
    <x v="0"/>
    <x v="0"/>
    <x v="16"/>
    <x v="16"/>
  </r>
  <r>
    <x v="17"/>
    <x v="2"/>
    <x v="0"/>
    <x v="0"/>
    <x v="0"/>
    <x v="0"/>
    <x v="0"/>
    <x v="0"/>
    <x v="16"/>
    <x v="16"/>
  </r>
  <r>
    <x v="18"/>
    <x v="3"/>
    <x v="0"/>
    <x v="0"/>
    <x v="0"/>
    <x v="0"/>
    <x v="0"/>
    <x v="0"/>
    <x v="19"/>
    <x v="19"/>
  </r>
  <r>
    <x v="19"/>
    <x v="3"/>
    <x v="0"/>
    <x v="0"/>
    <x v="0"/>
    <x v="0"/>
    <x v="0"/>
    <x v="0"/>
    <x v="19"/>
    <x v="19"/>
  </r>
  <r>
    <x v="20"/>
    <x v="3"/>
    <x v="0"/>
    <x v="0"/>
    <x v="0"/>
    <x v="0"/>
    <x v="0"/>
    <x v="0"/>
    <x v="20"/>
    <x v="20"/>
  </r>
  <r>
    <x v="21"/>
    <x v="3"/>
    <x v="0"/>
    <x v="0"/>
    <x v="0"/>
    <x v="0"/>
    <x v="0"/>
    <x v="0"/>
    <x v="20"/>
    <x v="20"/>
  </r>
  <r>
    <x v="22"/>
    <x v="3"/>
    <x v="0"/>
    <x v="0"/>
    <x v="0"/>
    <x v="0"/>
    <x v="0"/>
    <x v="0"/>
    <x v="20"/>
    <x v="20"/>
  </r>
  <r>
    <x v="23"/>
    <x v="3"/>
    <x v="0"/>
    <x v="0"/>
    <x v="0"/>
    <x v="0"/>
    <x v="0"/>
    <x v="0"/>
    <x v="21"/>
    <x v="21"/>
  </r>
  <r>
    <x v="0"/>
    <x v="0"/>
    <x v="0"/>
    <x v="0"/>
    <x v="1"/>
    <x v="1"/>
    <x v="0"/>
    <x v="0"/>
    <x v="21"/>
    <x v="21"/>
  </r>
  <r>
    <x v="1"/>
    <x v="0"/>
    <x v="0"/>
    <x v="0"/>
    <x v="1"/>
    <x v="1"/>
    <x v="0"/>
    <x v="0"/>
    <x v="21"/>
    <x v="21"/>
  </r>
  <r>
    <x v="2"/>
    <x v="0"/>
    <x v="0"/>
    <x v="0"/>
    <x v="1"/>
    <x v="1"/>
    <x v="0"/>
    <x v="0"/>
    <x v="22"/>
    <x v="22"/>
  </r>
  <r>
    <x v="3"/>
    <x v="0"/>
    <x v="0"/>
    <x v="0"/>
    <x v="1"/>
    <x v="1"/>
    <x v="0"/>
    <x v="0"/>
    <x v="22"/>
    <x v="22"/>
  </r>
  <r>
    <x v="5"/>
    <x v="0"/>
    <x v="0"/>
    <x v="0"/>
    <x v="1"/>
    <x v="1"/>
    <x v="1"/>
    <x v="1"/>
    <x v="21"/>
    <x v="21"/>
  </r>
  <r>
    <x v="6"/>
    <x v="1"/>
    <x v="0"/>
    <x v="0"/>
    <x v="1"/>
    <x v="1"/>
    <x v="1"/>
    <x v="1"/>
    <x v="21"/>
    <x v="21"/>
  </r>
  <r>
    <x v="7"/>
    <x v="1"/>
    <x v="0"/>
    <x v="0"/>
    <x v="1"/>
    <x v="1"/>
    <x v="0"/>
    <x v="0"/>
    <x v="19"/>
    <x v="19"/>
  </r>
  <r>
    <x v="8"/>
    <x v="1"/>
    <x v="0"/>
    <x v="0"/>
    <x v="1"/>
    <x v="1"/>
    <x v="0"/>
    <x v="0"/>
    <x v="20"/>
    <x v="20"/>
  </r>
  <r>
    <x v="9"/>
    <x v="1"/>
    <x v="0"/>
    <x v="0"/>
    <x v="1"/>
    <x v="1"/>
    <x v="0"/>
    <x v="0"/>
    <x v="18"/>
    <x v="18"/>
  </r>
  <r>
    <x v="10"/>
    <x v="1"/>
    <x v="0"/>
    <x v="0"/>
    <x v="1"/>
    <x v="1"/>
    <x v="0"/>
    <x v="0"/>
    <x v="14"/>
    <x v="14"/>
  </r>
  <r>
    <x v="11"/>
    <x v="1"/>
    <x v="0"/>
    <x v="0"/>
    <x v="1"/>
    <x v="1"/>
    <x v="0"/>
    <x v="0"/>
    <x v="14"/>
    <x v="14"/>
  </r>
  <r>
    <x v="12"/>
    <x v="2"/>
    <x v="0"/>
    <x v="0"/>
    <x v="1"/>
    <x v="1"/>
    <x v="0"/>
    <x v="0"/>
    <x v="13"/>
    <x v="13"/>
  </r>
  <r>
    <x v="13"/>
    <x v="2"/>
    <x v="0"/>
    <x v="0"/>
    <x v="1"/>
    <x v="1"/>
    <x v="0"/>
    <x v="0"/>
    <x v="14"/>
    <x v="14"/>
  </r>
  <r>
    <x v="14"/>
    <x v="2"/>
    <x v="0"/>
    <x v="0"/>
    <x v="1"/>
    <x v="1"/>
    <x v="0"/>
    <x v="0"/>
    <x v="13"/>
    <x v="13"/>
  </r>
  <r>
    <x v="15"/>
    <x v="2"/>
    <x v="0"/>
    <x v="0"/>
    <x v="1"/>
    <x v="1"/>
    <x v="0"/>
    <x v="0"/>
    <x v="13"/>
    <x v="13"/>
  </r>
  <r>
    <x v="16"/>
    <x v="2"/>
    <x v="0"/>
    <x v="0"/>
    <x v="1"/>
    <x v="1"/>
    <x v="0"/>
    <x v="0"/>
    <x v="13"/>
    <x v="13"/>
  </r>
  <r>
    <x v="17"/>
    <x v="2"/>
    <x v="0"/>
    <x v="0"/>
    <x v="1"/>
    <x v="1"/>
    <x v="0"/>
    <x v="0"/>
    <x v="14"/>
    <x v="14"/>
  </r>
  <r>
    <x v="18"/>
    <x v="3"/>
    <x v="0"/>
    <x v="0"/>
    <x v="1"/>
    <x v="1"/>
    <x v="0"/>
    <x v="0"/>
    <x v="16"/>
    <x v="16"/>
  </r>
  <r>
    <x v="19"/>
    <x v="3"/>
    <x v="0"/>
    <x v="0"/>
    <x v="1"/>
    <x v="1"/>
    <x v="0"/>
    <x v="0"/>
    <x v="16"/>
    <x v="16"/>
  </r>
  <r>
    <x v="20"/>
    <x v="3"/>
    <x v="0"/>
    <x v="0"/>
    <x v="1"/>
    <x v="1"/>
    <x v="0"/>
    <x v="0"/>
    <x v="18"/>
    <x v="18"/>
  </r>
  <r>
    <x v="21"/>
    <x v="3"/>
    <x v="0"/>
    <x v="0"/>
    <x v="1"/>
    <x v="1"/>
    <x v="0"/>
    <x v="0"/>
    <x v="18"/>
    <x v="18"/>
  </r>
  <r>
    <x v="22"/>
    <x v="3"/>
    <x v="0"/>
    <x v="0"/>
    <x v="1"/>
    <x v="1"/>
    <x v="0"/>
    <x v="0"/>
    <x v="19"/>
    <x v="19"/>
  </r>
  <r>
    <x v="23"/>
    <x v="3"/>
    <x v="0"/>
    <x v="0"/>
    <x v="1"/>
    <x v="1"/>
    <x v="0"/>
    <x v="0"/>
    <x v="20"/>
    <x v="20"/>
  </r>
  <r>
    <x v="0"/>
    <x v="0"/>
    <x v="0"/>
    <x v="0"/>
    <x v="2"/>
    <x v="2"/>
    <x v="0"/>
    <x v="0"/>
    <x v="20"/>
    <x v="20"/>
  </r>
  <r>
    <x v="1"/>
    <x v="0"/>
    <x v="0"/>
    <x v="0"/>
    <x v="2"/>
    <x v="2"/>
    <x v="0"/>
    <x v="0"/>
    <x v="21"/>
    <x v="21"/>
  </r>
  <r>
    <x v="3"/>
    <x v="0"/>
    <x v="0"/>
    <x v="0"/>
    <x v="2"/>
    <x v="2"/>
    <x v="0"/>
    <x v="0"/>
    <x v="21"/>
    <x v="21"/>
  </r>
  <r>
    <x v="4"/>
    <x v="0"/>
    <x v="0"/>
    <x v="0"/>
    <x v="2"/>
    <x v="2"/>
    <x v="0"/>
    <x v="0"/>
    <x v="22"/>
    <x v="22"/>
  </r>
  <r>
    <x v="5"/>
    <x v="0"/>
    <x v="0"/>
    <x v="0"/>
    <x v="2"/>
    <x v="2"/>
    <x v="0"/>
    <x v="0"/>
    <x v="22"/>
    <x v="22"/>
  </r>
  <r>
    <x v="6"/>
    <x v="1"/>
    <x v="0"/>
    <x v="0"/>
    <x v="2"/>
    <x v="2"/>
    <x v="0"/>
    <x v="0"/>
    <x v="22"/>
    <x v="22"/>
  </r>
  <r>
    <x v="7"/>
    <x v="1"/>
    <x v="0"/>
    <x v="0"/>
    <x v="2"/>
    <x v="2"/>
    <x v="0"/>
    <x v="0"/>
    <x v="22"/>
    <x v="22"/>
  </r>
  <r>
    <x v="8"/>
    <x v="1"/>
    <x v="0"/>
    <x v="0"/>
    <x v="2"/>
    <x v="2"/>
    <x v="0"/>
    <x v="0"/>
    <x v="21"/>
    <x v="21"/>
  </r>
  <r>
    <x v="9"/>
    <x v="1"/>
    <x v="0"/>
    <x v="0"/>
    <x v="2"/>
    <x v="2"/>
    <x v="0"/>
    <x v="0"/>
    <x v="20"/>
    <x v="20"/>
  </r>
  <r>
    <x v="10"/>
    <x v="1"/>
    <x v="0"/>
    <x v="0"/>
    <x v="2"/>
    <x v="2"/>
    <x v="0"/>
    <x v="0"/>
    <x v="18"/>
    <x v="18"/>
  </r>
  <r>
    <x v="11"/>
    <x v="1"/>
    <x v="0"/>
    <x v="0"/>
    <x v="2"/>
    <x v="2"/>
    <x v="0"/>
    <x v="0"/>
    <x v="18"/>
    <x v="18"/>
  </r>
  <r>
    <x v="12"/>
    <x v="2"/>
    <x v="0"/>
    <x v="0"/>
    <x v="2"/>
    <x v="2"/>
    <x v="1"/>
    <x v="1"/>
    <x v="16"/>
    <x v="16"/>
  </r>
  <r>
    <x v="13"/>
    <x v="2"/>
    <x v="0"/>
    <x v="0"/>
    <x v="2"/>
    <x v="2"/>
    <x v="1"/>
    <x v="1"/>
    <x v="14"/>
    <x v="14"/>
  </r>
  <r>
    <x v="14"/>
    <x v="2"/>
    <x v="0"/>
    <x v="0"/>
    <x v="2"/>
    <x v="2"/>
    <x v="1"/>
    <x v="1"/>
    <x v="14"/>
    <x v="14"/>
  </r>
  <r>
    <x v="15"/>
    <x v="2"/>
    <x v="0"/>
    <x v="0"/>
    <x v="2"/>
    <x v="2"/>
    <x v="0"/>
    <x v="0"/>
    <x v="13"/>
    <x v="13"/>
  </r>
  <r>
    <x v="16"/>
    <x v="2"/>
    <x v="0"/>
    <x v="0"/>
    <x v="2"/>
    <x v="2"/>
    <x v="0"/>
    <x v="0"/>
    <x v="13"/>
    <x v="13"/>
  </r>
  <r>
    <x v="17"/>
    <x v="2"/>
    <x v="0"/>
    <x v="0"/>
    <x v="2"/>
    <x v="2"/>
    <x v="0"/>
    <x v="0"/>
    <x v="14"/>
    <x v="14"/>
  </r>
  <r>
    <x v="18"/>
    <x v="3"/>
    <x v="0"/>
    <x v="0"/>
    <x v="2"/>
    <x v="2"/>
    <x v="0"/>
    <x v="0"/>
    <x v="14"/>
    <x v="14"/>
  </r>
  <r>
    <x v="19"/>
    <x v="3"/>
    <x v="0"/>
    <x v="0"/>
    <x v="2"/>
    <x v="2"/>
    <x v="0"/>
    <x v="0"/>
    <x v="14"/>
    <x v="14"/>
  </r>
  <r>
    <x v="20"/>
    <x v="3"/>
    <x v="0"/>
    <x v="0"/>
    <x v="2"/>
    <x v="2"/>
    <x v="0"/>
    <x v="0"/>
    <x v="14"/>
    <x v="14"/>
  </r>
  <r>
    <x v="21"/>
    <x v="3"/>
    <x v="0"/>
    <x v="0"/>
    <x v="2"/>
    <x v="2"/>
    <x v="0"/>
    <x v="0"/>
    <x v="14"/>
    <x v="14"/>
  </r>
  <r>
    <x v="22"/>
    <x v="3"/>
    <x v="0"/>
    <x v="0"/>
    <x v="2"/>
    <x v="2"/>
    <x v="1"/>
    <x v="1"/>
    <x v="14"/>
    <x v="14"/>
  </r>
  <r>
    <x v="23"/>
    <x v="3"/>
    <x v="0"/>
    <x v="0"/>
    <x v="2"/>
    <x v="2"/>
    <x v="1"/>
    <x v="1"/>
    <x v="13"/>
    <x v="13"/>
  </r>
  <r>
    <x v="0"/>
    <x v="0"/>
    <x v="0"/>
    <x v="0"/>
    <x v="3"/>
    <x v="3"/>
    <x v="1"/>
    <x v="1"/>
    <x v="13"/>
    <x v="13"/>
  </r>
  <r>
    <x v="1"/>
    <x v="0"/>
    <x v="0"/>
    <x v="0"/>
    <x v="3"/>
    <x v="3"/>
    <x v="1"/>
    <x v="1"/>
    <x v="13"/>
    <x v="13"/>
  </r>
  <r>
    <x v="2"/>
    <x v="0"/>
    <x v="0"/>
    <x v="0"/>
    <x v="3"/>
    <x v="3"/>
    <x v="0"/>
    <x v="0"/>
    <x v="13"/>
    <x v="13"/>
  </r>
  <r>
    <x v="4"/>
    <x v="0"/>
    <x v="0"/>
    <x v="0"/>
    <x v="3"/>
    <x v="3"/>
    <x v="0"/>
    <x v="0"/>
    <x v="14"/>
    <x v="14"/>
  </r>
  <r>
    <x v="5"/>
    <x v="0"/>
    <x v="0"/>
    <x v="0"/>
    <x v="3"/>
    <x v="3"/>
    <x v="0"/>
    <x v="0"/>
    <x v="14"/>
    <x v="14"/>
  </r>
  <r>
    <x v="6"/>
    <x v="1"/>
    <x v="0"/>
    <x v="0"/>
    <x v="3"/>
    <x v="3"/>
    <x v="0"/>
    <x v="0"/>
    <x v="13"/>
    <x v="13"/>
  </r>
  <r>
    <x v="7"/>
    <x v="1"/>
    <x v="0"/>
    <x v="0"/>
    <x v="3"/>
    <x v="3"/>
    <x v="0"/>
    <x v="0"/>
    <x v="13"/>
    <x v="13"/>
  </r>
  <r>
    <x v="8"/>
    <x v="1"/>
    <x v="0"/>
    <x v="0"/>
    <x v="3"/>
    <x v="3"/>
    <x v="1"/>
    <x v="1"/>
    <x v="13"/>
    <x v="13"/>
  </r>
  <r>
    <x v="9"/>
    <x v="1"/>
    <x v="0"/>
    <x v="0"/>
    <x v="3"/>
    <x v="3"/>
    <x v="1"/>
    <x v="1"/>
    <x v="2"/>
    <x v="2"/>
  </r>
  <r>
    <x v="10"/>
    <x v="1"/>
    <x v="0"/>
    <x v="0"/>
    <x v="3"/>
    <x v="3"/>
    <x v="1"/>
    <x v="1"/>
    <x v="1"/>
    <x v="1"/>
  </r>
  <r>
    <x v="11"/>
    <x v="1"/>
    <x v="0"/>
    <x v="0"/>
    <x v="3"/>
    <x v="3"/>
    <x v="1"/>
    <x v="1"/>
    <x v="0"/>
    <x v="0"/>
  </r>
  <r>
    <x v="12"/>
    <x v="2"/>
    <x v="0"/>
    <x v="0"/>
    <x v="3"/>
    <x v="3"/>
    <x v="1"/>
    <x v="1"/>
    <x v="12"/>
    <x v="12"/>
  </r>
  <r>
    <x v="13"/>
    <x v="2"/>
    <x v="0"/>
    <x v="0"/>
    <x v="3"/>
    <x v="3"/>
    <x v="1"/>
    <x v="1"/>
    <x v="12"/>
    <x v="12"/>
  </r>
  <r>
    <x v="14"/>
    <x v="2"/>
    <x v="0"/>
    <x v="0"/>
    <x v="3"/>
    <x v="3"/>
    <x v="1"/>
    <x v="1"/>
    <x v="11"/>
    <x v="11"/>
  </r>
  <r>
    <x v="15"/>
    <x v="2"/>
    <x v="0"/>
    <x v="0"/>
    <x v="3"/>
    <x v="3"/>
    <x v="1"/>
    <x v="1"/>
    <x v="3"/>
    <x v="3"/>
  </r>
  <r>
    <x v="16"/>
    <x v="2"/>
    <x v="0"/>
    <x v="0"/>
    <x v="3"/>
    <x v="3"/>
    <x v="1"/>
    <x v="1"/>
    <x v="3"/>
    <x v="3"/>
  </r>
  <r>
    <x v="17"/>
    <x v="2"/>
    <x v="0"/>
    <x v="0"/>
    <x v="3"/>
    <x v="3"/>
    <x v="0"/>
    <x v="0"/>
    <x v="11"/>
    <x v="11"/>
  </r>
  <r>
    <x v="18"/>
    <x v="3"/>
    <x v="0"/>
    <x v="0"/>
    <x v="3"/>
    <x v="3"/>
    <x v="1"/>
    <x v="1"/>
    <x v="11"/>
    <x v="11"/>
  </r>
  <r>
    <x v="19"/>
    <x v="3"/>
    <x v="0"/>
    <x v="0"/>
    <x v="3"/>
    <x v="3"/>
    <x v="1"/>
    <x v="1"/>
    <x v="12"/>
    <x v="12"/>
  </r>
  <r>
    <x v="20"/>
    <x v="3"/>
    <x v="0"/>
    <x v="0"/>
    <x v="3"/>
    <x v="3"/>
    <x v="0"/>
    <x v="0"/>
    <x v="0"/>
    <x v="0"/>
  </r>
  <r>
    <x v="21"/>
    <x v="3"/>
    <x v="0"/>
    <x v="0"/>
    <x v="3"/>
    <x v="3"/>
    <x v="0"/>
    <x v="0"/>
    <x v="0"/>
    <x v="0"/>
  </r>
  <r>
    <x v="22"/>
    <x v="3"/>
    <x v="0"/>
    <x v="0"/>
    <x v="3"/>
    <x v="3"/>
    <x v="0"/>
    <x v="0"/>
    <x v="1"/>
    <x v="1"/>
  </r>
  <r>
    <x v="23"/>
    <x v="3"/>
    <x v="0"/>
    <x v="0"/>
    <x v="3"/>
    <x v="3"/>
    <x v="1"/>
    <x v="1"/>
    <x v="1"/>
    <x v="1"/>
  </r>
  <r>
    <x v="0"/>
    <x v="0"/>
    <x v="0"/>
    <x v="0"/>
    <x v="4"/>
    <x v="4"/>
    <x v="1"/>
    <x v="1"/>
    <x v="1"/>
    <x v="1"/>
  </r>
  <r>
    <x v="1"/>
    <x v="0"/>
    <x v="0"/>
    <x v="0"/>
    <x v="4"/>
    <x v="4"/>
    <x v="1"/>
    <x v="1"/>
    <x v="0"/>
    <x v="0"/>
  </r>
  <r>
    <x v="2"/>
    <x v="0"/>
    <x v="0"/>
    <x v="0"/>
    <x v="4"/>
    <x v="4"/>
    <x v="2"/>
    <x v="2"/>
    <x v="1"/>
    <x v="1"/>
  </r>
  <r>
    <x v="5"/>
    <x v="0"/>
    <x v="0"/>
    <x v="0"/>
    <x v="4"/>
    <x v="4"/>
    <x v="2"/>
    <x v="2"/>
    <x v="2"/>
    <x v="2"/>
  </r>
  <r>
    <x v="6"/>
    <x v="1"/>
    <x v="0"/>
    <x v="0"/>
    <x v="4"/>
    <x v="4"/>
    <x v="2"/>
    <x v="2"/>
    <x v="2"/>
    <x v="2"/>
  </r>
  <r>
    <x v="7"/>
    <x v="1"/>
    <x v="0"/>
    <x v="0"/>
    <x v="4"/>
    <x v="4"/>
    <x v="2"/>
    <x v="2"/>
    <x v="1"/>
    <x v="1"/>
  </r>
  <r>
    <x v="8"/>
    <x v="1"/>
    <x v="0"/>
    <x v="0"/>
    <x v="4"/>
    <x v="4"/>
    <x v="2"/>
    <x v="2"/>
    <x v="1"/>
    <x v="1"/>
  </r>
  <r>
    <x v="9"/>
    <x v="1"/>
    <x v="0"/>
    <x v="0"/>
    <x v="4"/>
    <x v="4"/>
    <x v="2"/>
    <x v="2"/>
    <x v="1"/>
    <x v="1"/>
  </r>
  <r>
    <x v="10"/>
    <x v="1"/>
    <x v="0"/>
    <x v="0"/>
    <x v="4"/>
    <x v="4"/>
    <x v="2"/>
    <x v="2"/>
    <x v="1"/>
    <x v="1"/>
  </r>
  <r>
    <x v="11"/>
    <x v="1"/>
    <x v="0"/>
    <x v="0"/>
    <x v="4"/>
    <x v="4"/>
    <x v="2"/>
    <x v="2"/>
    <x v="1"/>
    <x v="1"/>
  </r>
  <r>
    <x v="12"/>
    <x v="2"/>
    <x v="0"/>
    <x v="0"/>
    <x v="4"/>
    <x v="4"/>
    <x v="2"/>
    <x v="2"/>
    <x v="1"/>
    <x v="1"/>
  </r>
  <r>
    <x v="13"/>
    <x v="2"/>
    <x v="0"/>
    <x v="0"/>
    <x v="4"/>
    <x v="4"/>
    <x v="2"/>
    <x v="2"/>
    <x v="1"/>
    <x v="1"/>
  </r>
  <r>
    <x v="14"/>
    <x v="2"/>
    <x v="0"/>
    <x v="0"/>
    <x v="4"/>
    <x v="4"/>
    <x v="2"/>
    <x v="2"/>
    <x v="1"/>
    <x v="1"/>
  </r>
  <r>
    <x v="15"/>
    <x v="2"/>
    <x v="0"/>
    <x v="0"/>
    <x v="4"/>
    <x v="4"/>
    <x v="2"/>
    <x v="2"/>
    <x v="1"/>
    <x v="1"/>
  </r>
  <r>
    <x v="16"/>
    <x v="2"/>
    <x v="0"/>
    <x v="0"/>
    <x v="4"/>
    <x v="4"/>
    <x v="3"/>
    <x v="3"/>
    <x v="1"/>
    <x v="1"/>
  </r>
  <r>
    <x v="17"/>
    <x v="2"/>
    <x v="0"/>
    <x v="0"/>
    <x v="4"/>
    <x v="4"/>
    <x v="2"/>
    <x v="2"/>
    <x v="2"/>
    <x v="2"/>
  </r>
  <r>
    <x v="16"/>
    <x v="2"/>
    <x v="0"/>
    <x v="0"/>
    <x v="5"/>
    <x v="5"/>
    <x v="0"/>
    <x v="0"/>
    <x v="1"/>
    <x v="1"/>
  </r>
  <r>
    <x v="17"/>
    <x v="2"/>
    <x v="0"/>
    <x v="0"/>
    <x v="5"/>
    <x v="5"/>
    <x v="0"/>
    <x v="0"/>
    <x v="1"/>
    <x v="1"/>
  </r>
  <r>
    <x v="18"/>
    <x v="3"/>
    <x v="0"/>
    <x v="0"/>
    <x v="5"/>
    <x v="5"/>
    <x v="0"/>
    <x v="0"/>
    <x v="2"/>
    <x v="2"/>
  </r>
  <r>
    <x v="19"/>
    <x v="3"/>
    <x v="0"/>
    <x v="0"/>
    <x v="5"/>
    <x v="5"/>
    <x v="0"/>
    <x v="0"/>
    <x v="2"/>
    <x v="2"/>
  </r>
  <r>
    <x v="20"/>
    <x v="3"/>
    <x v="0"/>
    <x v="0"/>
    <x v="5"/>
    <x v="5"/>
    <x v="0"/>
    <x v="0"/>
    <x v="15"/>
    <x v="15"/>
  </r>
  <r>
    <x v="21"/>
    <x v="3"/>
    <x v="0"/>
    <x v="0"/>
    <x v="5"/>
    <x v="5"/>
    <x v="0"/>
    <x v="0"/>
    <x v="15"/>
    <x v="15"/>
  </r>
  <r>
    <x v="22"/>
    <x v="3"/>
    <x v="0"/>
    <x v="0"/>
    <x v="5"/>
    <x v="5"/>
    <x v="0"/>
    <x v="0"/>
    <x v="15"/>
    <x v="15"/>
  </r>
  <r>
    <x v="23"/>
    <x v="3"/>
    <x v="0"/>
    <x v="0"/>
    <x v="5"/>
    <x v="5"/>
    <x v="0"/>
    <x v="0"/>
    <x v="15"/>
    <x v="15"/>
  </r>
  <r>
    <x v="0"/>
    <x v="0"/>
    <x v="0"/>
    <x v="0"/>
    <x v="6"/>
    <x v="6"/>
    <x v="1"/>
    <x v="1"/>
    <x v="2"/>
    <x v="2"/>
  </r>
  <r>
    <x v="1"/>
    <x v="0"/>
    <x v="0"/>
    <x v="0"/>
    <x v="6"/>
    <x v="6"/>
    <x v="1"/>
    <x v="1"/>
    <x v="2"/>
    <x v="2"/>
  </r>
  <r>
    <x v="2"/>
    <x v="0"/>
    <x v="0"/>
    <x v="0"/>
    <x v="6"/>
    <x v="6"/>
    <x v="1"/>
    <x v="1"/>
    <x v="2"/>
    <x v="2"/>
  </r>
  <r>
    <x v="3"/>
    <x v="0"/>
    <x v="0"/>
    <x v="0"/>
    <x v="6"/>
    <x v="6"/>
    <x v="1"/>
    <x v="1"/>
    <x v="2"/>
    <x v="2"/>
  </r>
  <r>
    <x v="5"/>
    <x v="0"/>
    <x v="0"/>
    <x v="0"/>
    <x v="6"/>
    <x v="6"/>
    <x v="1"/>
    <x v="1"/>
    <x v="15"/>
    <x v="15"/>
  </r>
  <r>
    <x v="6"/>
    <x v="1"/>
    <x v="0"/>
    <x v="0"/>
    <x v="6"/>
    <x v="6"/>
    <x v="1"/>
    <x v="1"/>
    <x v="15"/>
    <x v="15"/>
  </r>
  <r>
    <x v="7"/>
    <x v="1"/>
    <x v="0"/>
    <x v="0"/>
    <x v="6"/>
    <x v="6"/>
    <x v="1"/>
    <x v="1"/>
    <x v="13"/>
    <x v="13"/>
  </r>
  <r>
    <x v="8"/>
    <x v="1"/>
    <x v="0"/>
    <x v="0"/>
    <x v="6"/>
    <x v="6"/>
    <x v="1"/>
    <x v="1"/>
    <x v="13"/>
    <x v="13"/>
  </r>
  <r>
    <x v="9"/>
    <x v="1"/>
    <x v="0"/>
    <x v="0"/>
    <x v="6"/>
    <x v="6"/>
    <x v="2"/>
    <x v="2"/>
    <x v="15"/>
    <x v="15"/>
  </r>
  <r>
    <x v="10"/>
    <x v="1"/>
    <x v="0"/>
    <x v="0"/>
    <x v="6"/>
    <x v="6"/>
    <x v="2"/>
    <x v="2"/>
    <x v="15"/>
    <x v="15"/>
  </r>
  <r>
    <x v="11"/>
    <x v="1"/>
    <x v="0"/>
    <x v="0"/>
    <x v="6"/>
    <x v="6"/>
    <x v="2"/>
    <x v="2"/>
    <x v="15"/>
    <x v="15"/>
  </r>
  <r>
    <x v="12"/>
    <x v="2"/>
    <x v="0"/>
    <x v="0"/>
    <x v="6"/>
    <x v="6"/>
    <x v="2"/>
    <x v="2"/>
    <x v="15"/>
    <x v="15"/>
  </r>
  <r>
    <x v="13"/>
    <x v="2"/>
    <x v="0"/>
    <x v="0"/>
    <x v="6"/>
    <x v="6"/>
    <x v="2"/>
    <x v="2"/>
    <x v="15"/>
    <x v="15"/>
  </r>
  <r>
    <x v="14"/>
    <x v="2"/>
    <x v="0"/>
    <x v="0"/>
    <x v="6"/>
    <x v="6"/>
    <x v="2"/>
    <x v="2"/>
    <x v="1"/>
    <x v="1"/>
  </r>
  <r>
    <x v="15"/>
    <x v="2"/>
    <x v="0"/>
    <x v="0"/>
    <x v="6"/>
    <x v="6"/>
    <x v="1"/>
    <x v="1"/>
    <x v="2"/>
    <x v="2"/>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10">
  <r>
    <n v="1"/>
    <d v="2011-01-01T00:00:00"/>
    <n v="1"/>
    <n v="2011"/>
    <n v="1"/>
    <n v="0"/>
    <s v="Night"/>
    <b v="0"/>
    <s v="Working day"/>
    <n v="6"/>
    <x v="0"/>
    <n v="1"/>
    <x v="0"/>
    <n v="0.24"/>
    <n v="24"/>
  </r>
  <r>
    <n v="2"/>
    <d v="2011-01-01T00:00:00"/>
    <n v="1"/>
    <n v="2011"/>
    <n v="1"/>
    <n v="1"/>
    <s v="Night"/>
    <b v="0"/>
    <s v="Working day"/>
    <n v="6"/>
    <x v="0"/>
    <n v="1"/>
    <x v="0"/>
    <n v="0.22"/>
    <n v="22"/>
  </r>
  <r>
    <n v="3"/>
    <d v="2011-01-01T00:00:00"/>
    <n v="1"/>
    <n v="2011"/>
    <n v="1"/>
    <n v="2"/>
    <s v="Night"/>
    <b v="0"/>
    <s v="Working day"/>
    <n v="6"/>
    <x v="0"/>
    <n v="1"/>
    <x v="0"/>
    <n v="0.22"/>
    <n v="22"/>
  </r>
  <r>
    <n v="4"/>
    <d v="2011-01-01T00:00:00"/>
    <n v="1"/>
    <n v="2011"/>
    <n v="1"/>
    <n v="3"/>
    <s v="Night"/>
    <b v="0"/>
    <s v="Working day"/>
    <n v="6"/>
    <x v="0"/>
    <n v="1"/>
    <x v="0"/>
    <n v="0.24"/>
    <n v="24"/>
  </r>
  <r>
    <n v="5"/>
    <d v="2011-01-01T00:00:00"/>
    <n v="1"/>
    <n v="2011"/>
    <n v="1"/>
    <n v="4"/>
    <s v="Night"/>
    <b v="0"/>
    <s v="Working day"/>
    <n v="6"/>
    <x v="0"/>
    <n v="1"/>
    <x v="0"/>
    <n v="0.24"/>
    <n v="24"/>
  </r>
  <r>
    <n v="6"/>
    <d v="2011-01-01T00:00:00"/>
    <n v="1"/>
    <n v="2011"/>
    <n v="1"/>
    <n v="5"/>
    <s v="Night"/>
    <b v="0"/>
    <s v="Working day"/>
    <n v="6"/>
    <x v="0"/>
    <n v="2"/>
    <x v="1"/>
    <n v="0.24"/>
    <n v="24"/>
  </r>
  <r>
    <n v="7"/>
    <d v="2011-01-01T00:00:00"/>
    <n v="1"/>
    <n v="2011"/>
    <n v="1"/>
    <n v="6"/>
    <s v="Morning"/>
    <b v="0"/>
    <s v="Working day"/>
    <n v="6"/>
    <x v="0"/>
    <n v="1"/>
    <x v="0"/>
    <n v="0.22"/>
    <n v="22"/>
  </r>
  <r>
    <n v="8"/>
    <d v="2011-01-01T00:00:00"/>
    <n v="1"/>
    <n v="2011"/>
    <n v="1"/>
    <n v="7"/>
    <s v="Morning"/>
    <b v="0"/>
    <s v="Working day"/>
    <n v="6"/>
    <x v="0"/>
    <n v="1"/>
    <x v="0"/>
    <n v="0.2"/>
    <n v="20"/>
  </r>
  <r>
    <n v="9"/>
    <d v="2011-01-01T00:00:00"/>
    <n v="1"/>
    <n v="2011"/>
    <n v="1"/>
    <n v="8"/>
    <s v="Morning"/>
    <b v="0"/>
    <s v="Working day"/>
    <n v="6"/>
    <x v="0"/>
    <n v="1"/>
    <x v="0"/>
    <n v="0.24"/>
    <n v="24"/>
  </r>
  <r>
    <n v="10"/>
    <d v="2011-01-01T00:00:00"/>
    <n v="1"/>
    <n v="2011"/>
    <n v="1"/>
    <n v="9"/>
    <s v="Morning"/>
    <b v="0"/>
    <s v="Working day"/>
    <n v="6"/>
    <x v="0"/>
    <n v="1"/>
    <x v="0"/>
    <n v="0.32"/>
    <n v="32"/>
  </r>
  <r>
    <n v="11"/>
    <d v="2011-01-01T00:00:00"/>
    <n v="1"/>
    <n v="2011"/>
    <n v="1"/>
    <n v="10"/>
    <s v="Morning"/>
    <b v="0"/>
    <s v="Working day"/>
    <n v="6"/>
    <x v="0"/>
    <n v="1"/>
    <x v="0"/>
    <n v="0.38"/>
    <n v="38"/>
  </r>
  <r>
    <n v="12"/>
    <d v="2011-01-01T00:00:00"/>
    <n v="1"/>
    <n v="2011"/>
    <n v="1"/>
    <n v="11"/>
    <s v="Morning"/>
    <b v="0"/>
    <s v="Working day"/>
    <n v="6"/>
    <x v="0"/>
    <n v="1"/>
    <x v="0"/>
    <n v="0.36"/>
    <n v="36"/>
  </r>
  <r>
    <n v="13"/>
    <d v="2011-01-01T00:00:00"/>
    <n v="1"/>
    <n v="2011"/>
    <n v="1"/>
    <n v="12"/>
    <s v="Afternoon"/>
    <b v="0"/>
    <s v="Working day"/>
    <n v="6"/>
    <x v="0"/>
    <n v="1"/>
    <x v="0"/>
    <n v="0.42"/>
    <n v="42"/>
  </r>
  <r>
    <n v="14"/>
    <d v="2011-01-01T00:00:00"/>
    <n v="1"/>
    <n v="2011"/>
    <n v="1"/>
    <n v="13"/>
    <s v="Afternoon"/>
    <b v="0"/>
    <s v="Working day"/>
    <n v="6"/>
    <x v="0"/>
    <n v="2"/>
    <x v="1"/>
    <n v="0.46"/>
    <n v="46"/>
  </r>
  <r>
    <n v="15"/>
    <d v="2011-01-01T00:00:00"/>
    <n v="1"/>
    <n v="2011"/>
    <n v="1"/>
    <n v="14"/>
    <s v="Afternoon"/>
    <b v="0"/>
    <s v="Working day"/>
    <n v="6"/>
    <x v="0"/>
    <n v="2"/>
    <x v="1"/>
    <n v="0.46"/>
    <n v="46"/>
  </r>
  <r>
    <n v="16"/>
    <d v="2011-01-01T00:00:00"/>
    <n v="1"/>
    <n v="2011"/>
    <n v="1"/>
    <n v="15"/>
    <s v="Afternoon"/>
    <b v="0"/>
    <s v="Working day"/>
    <n v="6"/>
    <x v="0"/>
    <n v="2"/>
    <x v="1"/>
    <n v="0.44"/>
    <n v="44"/>
  </r>
  <r>
    <n v="17"/>
    <d v="2011-01-01T00:00:00"/>
    <n v="1"/>
    <n v="2011"/>
    <n v="1"/>
    <n v="16"/>
    <s v="Afternoon"/>
    <b v="0"/>
    <s v="Working day"/>
    <n v="6"/>
    <x v="0"/>
    <n v="2"/>
    <x v="1"/>
    <n v="0.42"/>
    <n v="42"/>
  </r>
  <r>
    <n v="18"/>
    <d v="2011-01-01T00:00:00"/>
    <n v="1"/>
    <n v="2011"/>
    <n v="1"/>
    <n v="17"/>
    <s v="Afternoon"/>
    <b v="0"/>
    <s v="Working day"/>
    <n v="6"/>
    <x v="0"/>
    <n v="2"/>
    <x v="1"/>
    <n v="0.44"/>
    <n v="44"/>
  </r>
  <r>
    <n v="19"/>
    <d v="2011-01-01T00:00:00"/>
    <n v="1"/>
    <n v="2011"/>
    <n v="1"/>
    <n v="18"/>
    <s v="Evening"/>
    <b v="0"/>
    <s v="Working day"/>
    <n v="6"/>
    <x v="0"/>
    <n v="3"/>
    <x v="2"/>
    <n v="0.42"/>
    <n v="42"/>
  </r>
  <r>
    <n v="20"/>
    <d v="2011-01-01T00:00:00"/>
    <n v="1"/>
    <n v="2011"/>
    <n v="1"/>
    <n v="19"/>
    <s v="Evening"/>
    <b v="0"/>
    <s v="Working day"/>
    <n v="6"/>
    <x v="0"/>
    <n v="3"/>
    <x v="2"/>
    <n v="0.42"/>
    <n v="42"/>
  </r>
  <r>
    <n v="21"/>
    <d v="2011-01-01T00:00:00"/>
    <n v="1"/>
    <n v="2011"/>
    <n v="1"/>
    <n v="20"/>
    <s v="Evening"/>
    <b v="0"/>
    <s v="Working day"/>
    <n v="6"/>
    <x v="0"/>
    <n v="2"/>
    <x v="1"/>
    <n v="0.4"/>
    <n v="40"/>
  </r>
  <r>
    <n v="22"/>
    <d v="2011-01-01T00:00:00"/>
    <n v="1"/>
    <n v="2011"/>
    <n v="1"/>
    <n v="21"/>
    <s v="Evening"/>
    <b v="0"/>
    <s v="Working day"/>
    <n v="6"/>
    <x v="0"/>
    <n v="2"/>
    <x v="1"/>
    <n v="0.4"/>
    <n v="40"/>
  </r>
  <r>
    <n v="23"/>
    <d v="2011-01-01T00:00:00"/>
    <n v="1"/>
    <n v="2011"/>
    <n v="1"/>
    <n v="22"/>
    <s v="Evening"/>
    <b v="0"/>
    <s v="Working day"/>
    <n v="6"/>
    <x v="0"/>
    <n v="2"/>
    <x v="1"/>
    <n v="0.4"/>
    <n v="40"/>
  </r>
  <r>
    <n v="24"/>
    <d v="2011-01-01T00:00:00"/>
    <n v="1"/>
    <n v="2011"/>
    <n v="1"/>
    <n v="23"/>
    <s v="Evening"/>
    <b v="0"/>
    <s v="Working day"/>
    <n v="6"/>
    <x v="0"/>
    <n v="2"/>
    <x v="1"/>
    <n v="0.46"/>
    <n v="46"/>
  </r>
  <r>
    <n v="25"/>
    <d v="2011-01-02T00:00:00"/>
    <n v="1"/>
    <n v="2011"/>
    <n v="1"/>
    <n v="0"/>
    <s v="Night"/>
    <b v="0"/>
    <s v="Working day"/>
    <n v="0"/>
    <x v="1"/>
    <n v="2"/>
    <x v="1"/>
    <n v="0.46"/>
    <n v="46"/>
  </r>
  <r>
    <n v="26"/>
    <d v="2011-01-02T00:00:00"/>
    <n v="1"/>
    <n v="2011"/>
    <n v="1"/>
    <n v="1"/>
    <s v="Night"/>
    <b v="0"/>
    <s v="Working day"/>
    <n v="0"/>
    <x v="1"/>
    <n v="2"/>
    <x v="1"/>
    <n v="0.44"/>
    <n v="44"/>
  </r>
  <r>
    <n v="27"/>
    <d v="2011-01-02T00:00:00"/>
    <n v="1"/>
    <n v="2011"/>
    <n v="1"/>
    <n v="2"/>
    <s v="Night"/>
    <b v="0"/>
    <s v="Working day"/>
    <n v="0"/>
    <x v="1"/>
    <n v="2"/>
    <x v="1"/>
    <n v="0.42"/>
    <n v="42"/>
  </r>
  <r>
    <n v="28"/>
    <d v="2011-01-02T00:00:00"/>
    <n v="1"/>
    <n v="2011"/>
    <n v="1"/>
    <n v="3"/>
    <s v="Night"/>
    <b v="0"/>
    <s v="Working day"/>
    <n v="0"/>
    <x v="1"/>
    <n v="2"/>
    <x v="1"/>
    <n v="0.46"/>
    <n v="46"/>
  </r>
  <r>
    <n v="29"/>
    <d v="2011-01-02T00:00:00"/>
    <n v="1"/>
    <n v="2011"/>
    <n v="1"/>
    <n v="4"/>
    <s v="Night"/>
    <b v="0"/>
    <s v="Working day"/>
    <n v="0"/>
    <x v="1"/>
    <n v="2"/>
    <x v="1"/>
    <n v="0.46"/>
    <n v="46"/>
  </r>
  <r>
    <n v="30"/>
    <d v="2011-01-02T00:00:00"/>
    <n v="1"/>
    <n v="2011"/>
    <n v="1"/>
    <n v="6"/>
    <s v="Morning"/>
    <b v="0"/>
    <s v="Working day"/>
    <n v="0"/>
    <x v="1"/>
    <n v="3"/>
    <x v="2"/>
    <n v="0.42"/>
    <n v="42"/>
  </r>
  <r>
    <n v="31"/>
    <d v="2011-01-02T00:00:00"/>
    <n v="1"/>
    <n v="2011"/>
    <n v="1"/>
    <n v="7"/>
    <s v="Morning"/>
    <b v="0"/>
    <s v="Working day"/>
    <n v="0"/>
    <x v="1"/>
    <n v="2"/>
    <x v="1"/>
    <n v="0.4"/>
    <n v="40"/>
  </r>
  <r>
    <n v="32"/>
    <d v="2011-01-02T00:00:00"/>
    <n v="1"/>
    <n v="2011"/>
    <n v="1"/>
    <n v="8"/>
    <s v="Morning"/>
    <b v="0"/>
    <s v="Working day"/>
    <n v="0"/>
    <x v="1"/>
    <n v="3"/>
    <x v="2"/>
    <n v="0.4"/>
    <n v="40"/>
  </r>
  <r>
    <n v="33"/>
    <d v="2011-01-02T00:00:00"/>
    <n v="1"/>
    <n v="2011"/>
    <n v="1"/>
    <n v="9"/>
    <s v="Morning"/>
    <b v="0"/>
    <s v="Working day"/>
    <n v="0"/>
    <x v="1"/>
    <n v="2"/>
    <x v="1"/>
    <n v="0.38"/>
    <n v="38"/>
  </r>
  <r>
    <n v="34"/>
    <d v="2011-01-02T00:00:00"/>
    <n v="1"/>
    <n v="2011"/>
    <n v="1"/>
    <n v="10"/>
    <s v="Morning"/>
    <b v="0"/>
    <s v="Working day"/>
    <n v="0"/>
    <x v="1"/>
    <n v="2"/>
    <x v="1"/>
    <n v="0.36"/>
    <n v="36"/>
  </r>
  <r>
    <n v="35"/>
    <d v="2011-01-02T00:00:00"/>
    <n v="1"/>
    <n v="2011"/>
    <n v="1"/>
    <n v="11"/>
    <s v="Morning"/>
    <b v="0"/>
    <s v="Working day"/>
    <n v="0"/>
    <x v="1"/>
    <n v="2"/>
    <x v="1"/>
    <n v="0.36"/>
    <n v="36"/>
  </r>
  <r>
    <n v="36"/>
    <d v="2011-01-02T00:00:00"/>
    <n v="1"/>
    <n v="2011"/>
    <n v="1"/>
    <n v="12"/>
    <s v="Afternoon"/>
    <b v="0"/>
    <s v="Working day"/>
    <n v="0"/>
    <x v="1"/>
    <n v="2"/>
    <x v="1"/>
    <n v="0.36"/>
    <n v="36"/>
  </r>
  <r>
    <n v="37"/>
    <d v="2011-01-02T00:00:00"/>
    <n v="1"/>
    <n v="2011"/>
    <n v="1"/>
    <n v="13"/>
    <s v="Afternoon"/>
    <b v="0"/>
    <s v="Working day"/>
    <n v="0"/>
    <x v="1"/>
    <n v="2"/>
    <x v="1"/>
    <n v="0.36"/>
    <n v="36"/>
  </r>
  <r>
    <n v="38"/>
    <d v="2011-01-02T00:00:00"/>
    <n v="1"/>
    <n v="2011"/>
    <n v="1"/>
    <n v="14"/>
    <s v="Afternoon"/>
    <b v="0"/>
    <s v="Working day"/>
    <n v="0"/>
    <x v="1"/>
    <n v="3"/>
    <x v="2"/>
    <n v="0.36"/>
    <n v="36"/>
  </r>
  <r>
    <n v="39"/>
    <d v="2011-01-02T00:00:00"/>
    <n v="1"/>
    <n v="2011"/>
    <n v="1"/>
    <n v="15"/>
    <s v="Afternoon"/>
    <b v="0"/>
    <s v="Working day"/>
    <n v="0"/>
    <x v="1"/>
    <n v="3"/>
    <x v="2"/>
    <n v="0.34"/>
    <n v="34"/>
  </r>
  <r>
    <n v="40"/>
    <d v="2011-01-02T00:00:00"/>
    <n v="1"/>
    <n v="2011"/>
    <n v="1"/>
    <n v="16"/>
    <s v="Afternoon"/>
    <b v="0"/>
    <s v="Working day"/>
    <n v="0"/>
    <x v="1"/>
    <n v="3"/>
    <x v="2"/>
    <n v="0.34"/>
    <n v="34"/>
  </r>
  <r>
    <n v="41"/>
    <d v="2011-01-02T00:00:00"/>
    <n v="1"/>
    <n v="2011"/>
    <n v="1"/>
    <n v="17"/>
    <s v="Afternoon"/>
    <b v="0"/>
    <s v="Working day"/>
    <n v="0"/>
    <x v="1"/>
    <n v="1"/>
    <x v="0"/>
    <n v="0.34"/>
    <n v="34"/>
  </r>
  <r>
    <n v="42"/>
    <d v="2011-01-02T00:00:00"/>
    <n v="1"/>
    <n v="2011"/>
    <n v="1"/>
    <n v="18"/>
    <s v="Evening"/>
    <b v="0"/>
    <s v="Working day"/>
    <n v="0"/>
    <x v="1"/>
    <n v="2"/>
    <x v="1"/>
    <n v="0.36"/>
    <n v="36"/>
  </r>
  <r>
    <n v="43"/>
    <d v="2011-01-02T00:00:00"/>
    <n v="1"/>
    <n v="2011"/>
    <n v="1"/>
    <n v="19"/>
    <s v="Evening"/>
    <b v="0"/>
    <s v="Working day"/>
    <n v="0"/>
    <x v="1"/>
    <n v="1"/>
    <x v="0"/>
    <n v="0.32"/>
    <n v="32"/>
  </r>
  <r>
    <n v="44"/>
    <d v="2011-01-02T00:00:00"/>
    <n v="1"/>
    <n v="2011"/>
    <n v="1"/>
    <n v="20"/>
    <s v="Evening"/>
    <b v="0"/>
    <s v="Working day"/>
    <n v="0"/>
    <x v="1"/>
    <n v="1"/>
    <x v="0"/>
    <n v="0.3"/>
    <n v="30"/>
  </r>
  <r>
    <n v="45"/>
    <d v="2011-01-02T00:00:00"/>
    <n v="1"/>
    <n v="2011"/>
    <n v="1"/>
    <n v="21"/>
    <s v="Evening"/>
    <b v="0"/>
    <s v="Working day"/>
    <n v="0"/>
    <x v="1"/>
    <n v="1"/>
    <x v="0"/>
    <n v="0.26"/>
    <n v="26"/>
  </r>
  <r>
    <n v="46"/>
    <d v="2011-01-02T00:00:00"/>
    <n v="1"/>
    <n v="2011"/>
    <n v="1"/>
    <n v="22"/>
    <s v="Evening"/>
    <b v="0"/>
    <s v="Working day"/>
    <n v="0"/>
    <x v="1"/>
    <n v="1"/>
    <x v="0"/>
    <n v="0.24"/>
    <n v="24"/>
  </r>
  <r>
    <n v="47"/>
    <d v="2011-01-02T00:00:00"/>
    <n v="1"/>
    <n v="2011"/>
    <n v="1"/>
    <n v="23"/>
    <s v="Evening"/>
    <b v="0"/>
    <s v="Working day"/>
    <n v="0"/>
    <x v="1"/>
    <n v="1"/>
    <x v="0"/>
    <n v="0.22"/>
    <n v="22"/>
  </r>
  <r>
    <n v="48"/>
    <d v="2011-01-03T00:00:00"/>
    <n v="1"/>
    <n v="2011"/>
    <n v="1"/>
    <n v="0"/>
    <s v="Night"/>
    <b v="0"/>
    <s v="Working day"/>
    <n v="1"/>
    <x v="2"/>
    <n v="1"/>
    <x v="0"/>
    <n v="0.22"/>
    <n v="22"/>
  </r>
  <r>
    <n v="49"/>
    <d v="2011-01-03T00:00:00"/>
    <n v="1"/>
    <n v="2011"/>
    <n v="1"/>
    <n v="1"/>
    <s v="Night"/>
    <b v="0"/>
    <s v="Working day"/>
    <n v="1"/>
    <x v="2"/>
    <n v="1"/>
    <x v="0"/>
    <n v="0.2"/>
    <n v="20"/>
  </r>
  <r>
    <n v="50"/>
    <d v="2011-01-03T00:00:00"/>
    <n v="1"/>
    <n v="2011"/>
    <n v="1"/>
    <n v="4"/>
    <s v="Night"/>
    <b v="0"/>
    <s v="Working day"/>
    <n v="1"/>
    <x v="2"/>
    <n v="1"/>
    <x v="0"/>
    <n v="0.16"/>
    <n v="16"/>
  </r>
  <r>
    <n v="51"/>
    <d v="2011-01-03T00:00:00"/>
    <n v="1"/>
    <n v="2011"/>
    <n v="1"/>
    <n v="5"/>
    <s v="Night"/>
    <b v="0"/>
    <s v="Working day"/>
    <n v="1"/>
    <x v="2"/>
    <n v="1"/>
    <x v="0"/>
    <n v="0.16"/>
    <n v="16"/>
  </r>
  <r>
    <n v="52"/>
    <d v="2011-01-03T00:00:00"/>
    <n v="1"/>
    <n v="2011"/>
    <n v="1"/>
    <n v="6"/>
    <s v="Morning"/>
    <b v="0"/>
    <s v="Working day"/>
    <n v="1"/>
    <x v="2"/>
    <n v="1"/>
    <x v="0"/>
    <n v="0.14000000000000001"/>
    <n v="14.000000000000002"/>
  </r>
  <r>
    <n v="53"/>
    <d v="2011-01-03T00:00:00"/>
    <n v="1"/>
    <n v="2011"/>
    <n v="1"/>
    <n v="7"/>
    <s v="Morning"/>
    <b v="0"/>
    <s v="Working day"/>
    <n v="1"/>
    <x v="2"/>
    <n v="1"/>
    <x v="0"/>
    <n v="0.14000000000000001"/>
    <n v="14.000000000000002"/>
  </r>
  <r>
    <n v="54"/>
    <d v="2011-01-03T00:00:00"/>
    <n v="1"/>
    <n v="2011"/>
    <n v="1"/>
    <n v="8"/>
    <s v="Morning"/>
    <b v="0"/>
    <s v="Working day"/>
    <n v="1"/>
    <x v="2"/>
    <n v="1"/>
    <x v="0"/>
    <n v="0.14000000000000001"/>
    <n v="14.000000000000002"/>
  </r>
  <r>
    <n v="55"/>
    <d v="2011-01-03T00:00:00"/>
    <n v="1"/>
    <n v="2011"/>
    <n v="1"/>
    <n v="9"/>
    <s v="Morning"/>
    <b v="0"/>
    <s v="Working day"/>
    <n v="1"/>
    <x v="2"/>
    <n v="1"/>
    <x v="0"/>
    <n v="0.16"/>
    <n v="16"/>
  </r>
  <r>
    <n v="56"/>
    <d v="2011-01-03T00:00:00"/>
    <n v="1"/>
    <n v="2011"/>
    <n v="1"/>
    <n v="10"/>
    <s v="Morning"/>
    <b v="0"/>
    <s v="Working day"/>
    <n v="1"/>
    <x v="2"/>
    <n v="1"/>
    <x v="0"/>
    <n v="0.18"/>
    <n v="18"/>
  </r>
  <r>
    <n v="57"/>
    <d v="2011-01-03T00:00:00"/>
    <n v="1"/>
    <n v="2011"/>
    <n v="1"/>
    <n v="11"/>
    <s v="Morning"/>
    <b v="0"/>
    <s v="Working day"/>
    <n v="1"/>
    <x v="2"/>
    <n v="1"/>
    <x v="0"/>
    <n v="0.2"/>
    <n v="20"/>
  </r>
  <r>
    <n v="58"/>
    <d v="2011-01-03T00:00:00"/>
    <n v="1"/>
    <n v="2011"/>
    <n v="1"/>
    <n v="12"/>
    <s v="Afternoon"/>
    <b v="0"/>
    <s v="Working day"/>
    <n v="1"/>
    <x v="2"/>
    <n v="1"/>
    <x v="0"/>
    <n v="0.22"/>
    <n v="22"/>
  </r>
  <r>
    <n v="59"/>
    <d v="2011-01-03T00:00:00"/>
    <n v="1"/>
    <n v="2011"/>
    <n v="1"/>
    <n v="13"/>
    <s v="Afternoon"/>
    <b v="0"/>
    <s v="Working day"/>
    <n v="1"/>
    <x v="2"/>
    <n v="1"/>
    <x v="0"/>
    <n v="0.24"/>
    <n v="24"/>
  </r>
  <r>
    <n v="60"/>
    <d v="2011-01-03T00:00:00"/>
    <n v="1"/>
    <n v="2011"/>
    <n v="1"/>
    <n v="14"/>
    <s v="Afternoon"/>
    <b v="0"/>
    <s v="Working day"/>
    <n v="1"/>
    <x v="2"/>
    <n v="1"/>
    <x v="0"/>
    <n v="0.26"/>
    <n v="26"/>
  </r>
  <r>
    <n v="61"/>
    <d v="2011-01-03T00:00:00"/>
    <n v="1"/>
    <n v="2011"/>
    <n v="1"/>
    <n v="15"/>
    <s v="Afternoon"/>
    <b v="0"/>
    <s v="Working day"/>
    <n v="1"/>
    <x v="2"/>
    <n v="1"/>
    <x v="0"/>
    <n v="0.26"/>
    <n v="26"/>
  </r>
  <r>
    <n v="62"/>
    <d v="2011-01-03T00:00:00"/>
    <n v="1"/>
    <n v="2011"/>
    <n v="1"/>
    <n v="16"/>
    <s v="Afternoon"/>
    <b v="0"/>
    <s v="Working day"/>
    <n v="1"/>
    <x v="2"/>
    <n v="1"/>
    <x v="0"/>
    <n v="0.26"/>
    <n v="26"/>
  </r>
  <r>
    <n v="63"/>
    <d v="2011-01-03T00:00:00"/>
    <n v="1"/>
    <n v="2011"/>
    <n v="1"/>
    <n v="17"/>
    <s v="Afternoon"/>
    <b v="0"/>
    <s v="Working day"/>
    <n v="1"/>
    <x v="2"/>
    <n v="1"/>
    <x v="0"/>
    <n v="0.24"/>
    <n v="24"/>
  </r>
  <r>
    <n v="64"/>
    <d v="2011-01-03T00:00:00"/>
    <n v="1"/>
    <n v="2011"/>
    <n v="1"/>
    <n v="18"/>
    <s v="Evening"/>
    <b v="0"/>
    <s v="Working day"/>
    <n v="1"/>
    <x v="2"/>
    <n v="1"/>
    <x v="0"/>
    <n v="0.24"/>
    <n v="24"/>
  </r>
  <r>
    <n v="65"/>
    <d v="2011-01-03T00:00:00"/>
    <n v="1"/>
    <n v="2011"/>
    <n v="1"/>
    <n v="19"/>
    <s v="Evening"/>
    <b v="0"/>
    <s v="Working day"/>
    <n v="1"/>
    <x v="2"/>
    <n v="1"/>
    <x v="0"/>
    <n v="0.2"/>
    <n v="20"/>
  </r>
  <r>
    <n v="66"/>
    <d v="2011-01-03T00:00:00"/>
    <n v="1"/>
    <n v="2011"/>
    <n v="1"/>
    <n v="20"/>
    <s v="Evening"/>
    <b v="0"/>
    <s v="Working day"/>
    <n v="1"/>
    <x v="2"/>
    <n v="1"/>
    <x v="0"/>
    <n v="0.2"/>
    <n v="20"/>
  </r>
  <r>
    <n v="67"/>
    <d v="2011-01-03T00:00:00"/>
    <n v="1"/>
    <n v="2011"/>
    <n v="1"/>
    <n v="21"/>
    <s v="Evening"/>
    <b v="0"/>
    <s v="Working day"/>
    <n v="1"/>
    <x v="2"/>
    <n v="1"/>
    <x v="0"/>
    <n v="0.18"/>
    <n v="18"/>
  </r>
  <r>
    <n v="68"/>
    <d v="2011-01-03T00:00:00"/>
    <n v="1"/>
    <n v="2011"/>
    <n v="1"/>
    <n v="22"/>
    <s v="Evening"/>
    <b v="0"/>
    <s v="Working day"/>
    <n v="1"/>
    <x v="2"/>
    <n v="1"/>
    <x v="0"/>
    <n v="0.14000000000000001"/>
    <n v="14.000000000000002"/>
  </r>
  <r>
    <n v="69"/>
    <d v="2011-01-03T00:00:00"/>
    <n v="1"/>
    <n v="2011"/>
    <n v="1"/>
    <n v="23"/>
    <s v="Evening"/>
    <b v="0"/>
    <s v="Working day"/>
    <n v="1"/>
    <x v="2"/>
    <n v="1"/>
    <x v="0"/>
    <n v="0.18"/>
    <n v="18"/>
  </r>
  <r>
    <n v="70"/>
    <d v="2011-01-04T00:00:00"/>
    <n v="1"/>
    <n v="2011"/>
    <n v="1"/>
    <n v="0"/>
    <s v="Night"/>
    <b v="0"/>
    <s v="Working day"/>
    <n v="2"/>
    <x v="3"/>
    <n v="1"/>
    <x v="0"/>
    <n v="0.16"/>
    <n v="16"/>
  </r>
  <r>
    <n v="71"/>
    <d v="2011-01-04T00:00:00"/>
    <n v="1"/>
    <n v="2011"/>
    <n v="1"/>
    <n v="1"/>
    <s v="Night"/>
    <b v="0"/>
    <s v="Working day"/>
    <n v="2"/>
    <x v="3"/>
    <n v="1"/>
    <x v="0"/>
    <n v="0.16"/>
    <n v="16"/>
  </r>
  <r>
    <n v="72"/>
    <d v="2011-01-04T00:00:00"/>
    <n v="1"/>
    <n v="2011"/>
    <n v="1"/>
    <n v="2"/>
    <s v="Night"/>
    <b v="0"/>
    <s v="Working day"/>
    <n v="2"/>
    <x v="3"/>
    <n v="1"/>
    <x v="0"/>
    <n v="0.14000000000000001"/>
    <n v="14.000000000000002"/>
  </r>
  <r>
    <n v="73"/>
    <d v="2011-01-04T00:00:00"/>
    <n v="1"/>
    <n v="2011"/>
    <n v="1"/>
    <n v="4"/>
    <s v="Night"/>
    <b v="0"/>
    <s v="Working day"/>
    <n v="2"/>
    <x v="3"/>
    <n v="1"/>
    <x v="0"/>
    <n v="0.14000000000000001"/>
    <n v="14.000000000000002"/>
  </r>
  <r>
    <n v="74"/>
    <d v="2011-01-04T00:00:00"/>
    <n v="1"/>
    <n v="2011"/>
    <n v="1"/>
    <n v="5"/>
    <s v="Night"/>
    <b v="0"/>
    <s v="Working day"/>
    <n v="2"/>
    <x v="3"/>
    <n v="1"/>
    <x v="0"/>
    <n v="0.12"/>
    <n v="12"/>
  </r>
  <r>
    <n v="75"/>
    <d v="2011-01-04T00:00:00"/>
    <n v="1"/>
    <n v="2011"/>
    <n v="1"/>
    <n v="6"/>
    <s v="Morning"/>
    <b v="0"/>
    <s v="Working day"/>
    <n v="2"/>
    <x v="3"/>
    <n v="1"/>
    <x v="0"/>
    <n v="0.12"/>
    <n v="12"/>
  </r>
  <r>
    <n v="76"/>
    <d v="2011-01-04T00:00:00"/>
    <n v="1"/>
    <n v="2011"/>
    <n v="1"/>
    <n v="7"/>
    <s v="Morning"/>
    <b v="0"/>
    <s v="Working day"/>
    <n v="2"/>
    <x v="3"/>
    <n v="1"/>
    <x v="0"/>
    <n v="0.12"/>
    <n v="12"/>
  </r>
  <r>
    <n v="77"/>
    <d v="2011-01-04T00:00:00"/>
    <n v="1"/>
    <n v="2011"/>
    <n v="1"/>
    <n v="8"/>
    <s v="Morning"/>
    <b v="0"/>
    <s v="Working day"/>
    <n v="2"/>
    <x v="3"/>
    <n v="1"/>
    <x v="0"/>
    <n v="0.14000000000000001"/>
    <n v="14.000000000000002"/>
  </r>
  <r>
    <n v="78"/>
    <d v="2011-01-04T00:00:00"/>
    <n v="1"/>
    <n v="2011"/>
    <n v="1"/>
    <n v="9"/>
    <s v="Morning"/>
    <b v="0"/>
    <s v="Working day"/>
    <n v="2"/>
    <x v="3"/>
    <n v="1"/>
    <x v="0"/>
    <n v="0.16"/>
    <n v="16"/>
  </r>
  <r>
    <n v="79"/>
    <d v="2011-01-04T00:00:00"/>
    <n v="1"/>
    <n v="2011"/>
    <n v="1"/>
    <n v="10"/>
    <s v="Morning"/>
    <b v="0"/>
    <s v="Working day"/>
    <n v="2"/>
    <x v="3"/>
    <n v="2"/>
    <x v="1"/>
    <n v="0.16"/>
    <n v="16"/>
  </r>
  <r>
    <n v="80"/>
    <d v="2011-01-04T00:00:00"/>
    <n v="1"/>
    <n v="2011"/>
    <n v="1"/>
    <n v="11"/>
    <s v="Morning"/>
    <b v="0"/>
    <s v="Working day"/>
    <n v="2"/>
    <x v="3"/>
    <n v="1"/>
    <x v="0"/>
    <n v="0.22"/>
    <n v="22"/>
  </r>
  <r>
    <n v="81"/>
    <d v="2011-01-04T00:00:00"/>
    <n v="1"/>
    <n v="2011"/>
    <n v="1"/>
    <n v="12"/>
    <s v="Afternoon"/>
    <b v="0"/>
    <s v="Working day"/>
    <n v="2"/>
    <x v="3"/>
    <n v="1"/>
    <x v="0"/>
    <n v="0.22"/>
    <n v="22"/>
  </r>
  <r>
    <n v="82"/>
    <d v="2011-01-04T00:00:00"/>
    <n v="1"/>
    <n v="2011"/>
    <n v="1"/>
    <n v="13"/>
    <s v="Afternoon"/>
    <b v="0"/>
    <s v="Working day"/>
    <n v="2"/>
    <x v="3"/>
    <n v="1"/>
    <x v="0"/>
    <n v="0.24"/>
    <n v="24"/>
  </r>
  <r>
    <n v="83"/>
    <d v="2011-01-04T00:00:00"/>
    <n v="1"/>
    <n v="2011"/>
    <n v="1"/>
    <n v="14"/>
    <s v="Afternoon"/>
    <b v="0"/>
    <s v="Working day"/>
    <n v="2"/>
    <x v="3"/>
    <n v="1"/>
    <x v="0"/>
    <n v="0.26"/>
    <n v="26"/>
  </r>
  <r>
    <n v="84"/>
    <d v="2011-01-04T00:00:00"/>
    <n v="1"/>
    <n v="2011"/>
    <n v="1"/>
    <n v="15"/>
    <s v="Afternoon"/>
    <b v="0"/>
    <s v="Working day"/>
    <n v="2"/>
    <x v="3"/>
    <n v="1"/>
    <x v="0"/>
    <n v="0.28000000000000003"/>
    <n v="28.000000000000004"/>
  </r>
  <r>
    <n v="85"/>
    <d v="2011-01-04T00:00:00"/>
    <n v="1"/>
    <n v="2011"/>
    <n v="1"/>
    <n v="16"/>
    <s v="Afternoon"/>
    <b v="0"/>
    <s v="Working day"/>
    <n v="2"/>
    <x v="3"/>
    <n v="1"/>
    <x v="0"/>
    <n v="0.3"/>
    <n v="30"/>
  </r>
  <r>
    <n v="86"/>
    <d v="2011-01-04T00:00:00"/>
    <n v="1"/>
    <n v="2011"/>
    <n v="1"/>
    <n v="17"/>
    <s v="Afternoon"/>
    <b v="0"/>
    <s v="Working day"/>
    <n v="2"/>
    <x v="3"/>
    <n v="1"/>
    <x v="0"/>
    <n v="0.28000000000000003"/>
    <n v="28.000000000000004"/>
  </r>
  <r>
    <n v="87"/>
    <d v="2011-01-04T00:00:00"/>
    <n v="1"/>
    <n v="2011"/>
    <n v="1"/>
    <n v="18"/>
    <s v="Evening"/>
    <b v="0"/>
    <s v="Working day"/>
    <n v="2"/>
    <x v="3"/>
    <n v="1"/>
    <x v="0"/>
    <n v="0.26"/>
    <n v="26"/>
  </r>
  <r>
    <n v="88"/>
    <d v="2011-01-04T00:00:00"/>
    <n v="1"/>
    <n v="2011"/>
    <n v="1"/>
    <n v="19"/>
    <s v="Evening"/>
    <b v="0"/>
    <s v="Working day"/>
    <n v="2"/>
    <x v="3"/>
    <n v="1"/>
    <x v="0"/>
    <n v="0.24"/>
    <n v="24"/>
  </r>
  <r>
    <n v="89"/>
    <d v="2011-01-04T00:00:00"/>
    <n v="1"/>
    <n v="2011"/>
    <n v="1"/>
    <n v="20"/>
    <s v="Evening"/>
    <b v="0"/>
    <s v="Working day"/>
    <n v="2"/>
    <x v="3"/>
    <n v="1"/>
    <x v="0"/>
    <n v="0.24"/>
    <n v="24"/>
  </r>
  <r>
    <n v="90"/>
    <d v="2011-01-04T00:00:00"/>
    <n v="1"/>
    <n v="2011"/>
    <n v="1"/>
    <n v="21"/>
    <s v="Evening"/>
    <b v="0"/>
    <s v="Working day"/>
    <n v="2"/>
    <x v="3"/>
    <n v="1"/>
    <x v="0"/>
    <n v="0.22"/>
    <n v="22"/>
  </r>
  <r>
    <n v="91"/>
    <d v="2011-01-04T00:00:00"/>
    <n v="1"/>
    <n v="2011"/>
    <n v="1"/>
    <n v="22"/>
    <s v="Evening"/>
    <b v="0"/>
    <s v="Working day"/>
    <n v="2"/>
    <x v="3"/>
    <n v="1"/>
    <x v="0"/>
    <n v="0.22"/>
    <n v="22"/>
  </r>
  <r>
    <n v="92"/>
    <d v="2011-01-04T00:00:00"/>
    <n v="1"/>
    <n v="2011"/>
    <n v="1"/>
    <n v="23"/>
    <s v="Evening"/>
    <b v="0"/>
    <s v="Working day"/>
    <n v="2"/>
    <x v="3"/>
    <n v="1"/>
    <x v="0"/>
    <n v="0.2"/>
    <n v="20"/>
  </r>
  <r>
    <n v="93"/>
    <d v="2011-01-05T00:00:00"/>
    <n v="1"/>
    <n v="2011"/>
    <n v="1"/>
    <n v="0"/>
    <s v="Night"/>
    <b v="0"/>
    <s v="Working day"/>
    <n v="3"/>
    <x v="4"/>
    <n v="1"/>
    <x v="0"/>
    <n v="0.2"/>
    <n v="20"/>
  </r>
  <r>
    <n v="94"/>
    <d v="2011-01-05T00:00:00"/>
    <n v="1"/>
    <n v="2011"/>
    <n v="1"/>
    <n v="1"/>
    <s v="Night"/>
    <b v="0"/>
    <s v="Working day"/>
    <n v="3"/>
    <x v="4"/>
    <n v="1"/>
    <x v="0"/>
    <n v="0.16"/>
    <n v="16"/>
  </r>
  <r>
    <n v="95"/>
    <d v="2011-01-05T00:00:00"/>
    <n v="1"/>
    <n v="2011"/>
    <n v="1"/>
    <n v="2"/>
    <s v="Night"/>
    <b v="0"/>
    <s v="Working day"/>
    <n v="3"/>
    <x v="4"/>
    <n v="1"/>
    <x v="0"/>
    <n v="0.16"/>
    <n v="16"/>
  </r>
  <r>
    <n v="96"/>
    <d v="2011-01-05T00:00:00"/>
    <n v="1"/>
    <n v="2011"/>
    <n v="1"/>
    <n v="4"/>
    <s v="Night"/>
    <b v="0"/>
    <s v="Working day"/>
    <n v="3"/>
    <x v="4"/>
    <n v="1"/>
    <x v="0"/>
    <n v="0.24"/>
    <n v="24"/>
  </r>
  <r>
    <n v="97"/>
    <d v="2011-01-05T00:00:00"/>
    <n v="1"/>
    <n v="2011"/>
    <n v="1"/>
    <n v="5"/>
    <s v="Night"/>
    <b v="0"/>
    <s v="Working day"/>
    <n v="3"/>
    <x v="4"/>
    <n v="1"/>
    <x v="0"/>
    <n v="0.22"/>
    <n v="22"/>
  </r>
  <r>
    <n v="98"/>
    <d v="2011-01-05T00:00:00"/>
    <n v="1"/>
    <n v="2011"/>
    <n v="1"/>
    <n v="6"/>
    <s v="Morning"/>
    <b v="0"/>
    <s v="Working day"/>
    <n v="3"/>
    <x v="4"/>
    <n v="1"/>
    <x v="0"/>
    <n v="0.2"/>
    <n v="20"/>
  </r>
  <r>
    <n v="99"/>
    <d v="2011-01-05T00:00:00"/>
    <n v="1"/>
    <n v="2011"/>
    <n v="1"/>
    <n v="7"/>
    <s v="Morning"/>
    <b v="0"/>
    <s v="Working day"/>
    <n v="3"/>
    <x v="4"/>
    <n v="1"/>
    <x v="0"/>
    <n v="0.18"/>
    <n v="18"/>
  </r>
  <r>
    <n v="100"/>
    <d v="2011-01-05T00:00:00"/>
    <n v="1"/>
    <n v="2011"/>
    <n v="1"/>
    <n v="8"/>
    <s v="Morning"/>
    <b v="0"/>
    <s v="Working day"/>
    <n v="3"/>
    <x v="4"/>
    <n v="1"/>
    <x v="0"/>
    <n v="0.2"/>
    <n v="20"/>
  </r>
  <r>
    <n v="101"/>
    <d v="2011-01-05T00:00:00"/>
    <n v="1"/>
    <n v="2011"/>
    <n v="1"/>
    <n v="9"/>
    <s v="Morning"/>
    <b v="0"/>
    <s v="Working day"/>
    <n v="3"/>
    <x v="4"/>
    <n v="1"/>
    <x v="0"/>
    <n v="0.22"/>
    <n v="22"/>
  </r>
  <r>
    <n v="102"/>
    <d v="2011-01-05T00:00:00"/>
    <n v="1"/>
    <n v="2011"/>
    <n v="1"/>
    <n v="10"/>
    <s v="Morning"/>
    <b v="0"/>
    <s v="Working day"/>
    <n v="3"/>
    <x v="4"/>
    <n v="1"/>
    <x v="0"/>
    <n v="0.22"/>
    <n v="22"/>
  </r>
  <r>
    <n v="103"/>
    <d v="2011-01-05T00:00:00"/>
    <n v="1"/>
    <n v="2011"/>
    <n v="1"/>
    <n v="11"/>
    <s v="Morning"/>
    <b v="0"/>
    <s v="Working day"/>
    <n v="3"/>
    <x v="4"/>
    <n v="1"/>
    <x v="0"/>
    <n v="0.26"/>
    <n v="26"/>
  </r>
  <r>
    <n v="104"/>
    <d v="2011-01-05T00:00:00"/>
    <n v="1"/>
    <n v="2011"/>
    <n v="1"/>
    <n v="12"/>
    <s v="Afternoon"/>
    <b v="0"/>
    <s v="Working day"/>
    <n v="3"/>
    <x v="4"/>
    <n v="1"/>
    <x v="0"/>
    <n v="0.26"/>
    <n v="26"/>
  </r>
  <r>
    <n v="105"/>
    <d v="2011-01-05T00:00:00"/>
    <n v="1"/>
    <n v="2011"/>
    <n v="1"/>
    <n v="13"/>
    <s v="Afternoon"/>
    <b v="0"/>
    <s v="Working day"/>
    <n v="3"/>
    <x v="4"/>
    <n v="1"/>
    <x v="0"/>
    <n v="0.28000000000000003"/>
    <n v="28.000000000000004"/>
  </r>
  <r>
    <n v="106"/>
    <d v="2011-01-05T00:00:00"/>
    <n v="1"/>
    <n v="2011"/>
    <n v="1"/>
    <n v="14"/>
    <s v="Afternoon"/>
    <b v="0"/>
    <s v="Working day"/>
    <n v="3"/>
    <x v="4"/>
    <n v="1"/>
    <x v="0"/>
    <n v="0.3"/>
    <n v="30"/>
  </r>
  <r>
    <n v="107"/>
    <d v="2011-01-05T00:00:00"/>
    <n v="1"/>
    <n v="2011"/>
    <n v="1"/>
    <n v="15"/>
    <s v="Afternoon"/>
    <b v="0"/>
    <s v="Working day"/>
    <n v="3"/>
    <x v="4"/>
    <n v="1"/>
    <x v="0"/>
    <n v="0.3"/>
    <n v="30"/>
  </r>
  <r>
    <n v="108"/>
    <d v="2011-01-05T00:00:00"/>
    <n v="1"/>
    <n v="2011"/>
    <n v="1"/>
    <n v="16"/>
    <s v="Afternoon"/>
    <b v="0"/>
    <s v="Working day"/>
    <n v="3"/>
    <x v="4"/>
    <n v="1"/>
    <x v="0"/>
    <n v="0.3"/>
    <n v="30"/>
  </r>
  <r>
    <n v="109"/>
    <d v="2011-01-05T00:00:00"/>
    <n v="1"/>
    <n v="2011"/>
    <n v="1"/>
    <n v="17"/>
    <s v="Afternoon"/>
    <b v="0"/>
    <s v="Working day"/>
    <n v="3"/>
    <x v="4"/>
    <n v="1"/>
    <x v="0"/>
    <n v="0.24"/>
    <n v="24"/>
  </r>
  <r>
    <n v="110"/>
    <d v="2011-01-05T00:00:00"/>
    <n v="1"/>
    <n v="2011"/>
    <n v="1"/>
    <n v="18"/>
    <s v="Evening"/>
    <b v="0"/>
    <s v="Working day"/>
    <n v="3"/>
    <x v="4"/>
    <n v="1"/>
    <x v="0"/>
    <n v="0.24"/>
    <n v="24"/>
  </r>
  <r>
    <n v="111"/>
    <d v="2011-01-05T00:00:00"/>
    <n v="1"/>
    <n v="2011"/>
    <n v="1"/>
    <n v="19"/>
    <s v="Evening"/>
    <b v="0"/>
    <s v="Working day"/>
    <n v="3"/>
    <x v="4"/>
    <n v="1"/>
    <x v="0"/>
    <n v="0.24"/>
    <n v="24"/>
  </r>
  <r>
    <n v="112"/>
    <d v="2011-01-05T00:00:00"/>
    <n v="1"/>
    <n v="2011"/>
    <n v="1"/>
    <n v="20"/>
    <s v="Evening"/>
    <b v="0"/>
    <s v="Working day"/>
    <n v="3"/>
    <x v="4"/>
    <n v="1"/>
    <x v="0"/>
    <n v="0.22"/>
    <n v="22"/>
  </r>
  <r>
    <n v="113"/>
    <d v="2011-01-05T00:00:00"/>
    <n v="1"/>
    <n v="2011"/>
    <n v="1"/>
    <n v="21"/>
    <s v="Evening"/>
    <b v="0"/>
    <s v="Working day"/>
    <n v="3"/>
    <x v="4"/>
    <n v="1"/>
    <x v="0"/>
    <n v="0.2"/>
    <n v="20"/>
  </r>
  <r>
    <n v="114"/>
    <d v="2011-01-05T00:00:00"/>
    <n v="1"/>
    <n v="2011"/>
    <n v="1"/>
    <n v="22"/>
    <s v="Evening"/>
    <b v="0"/>
    <s v="Working day"/>
    <n v="3"/>
    <x v="4"/>
    <n v="1"/>
    <x v="0"/>
    <n v="0.18"/>
    <n v="18"/>
  </r>
  <r>
    <n v="115"/>
    <d v="2011-01-05T00:00:00"/>
    <n v="1"/>
    <n v="2011"/>
    <n v="1"/>
    <n v="23"/>
    <s v="Evening"/>
    <b v="0"/>
    <s v="Working day"/>
    <n v="3"/>
    <x v="4"/>
    <n v="1"/>
    <x v="0"/>
    <n v="0.2"/>
    <n v="20"/>
  </r>
  <r>
    <n v="116"/>
    <d v="2011-01-06T00:00:00"/>
    <n v="1"/>
    <n v="2011"/>
    <n v="1"/>
    <n v="0"/>
    <s v="Night"/>
    <b v="0"/>
    <s v="Working day"/>
    <n v="4"/>
    <x v="5"/>
    <n v="1"/>
    <x v="0"/>
    <n v="0.18"/>
    <n v="18"/>
  </r>
  <r>
    <n v="117"/>
    <d v="2011-01-06T00:00:00"/>
    <n v="1"/>
    <n v="2011"/>
    <n v="1"/>
    <n v="1"/>
    <s v="Night"/>
    <b v="0"/>
    <s v="Working day"/>
    <n v="4"/>
    <x v="5"/>
    <n v="1"/>
    <x v="0"/>
    <n v="0.16"/>
    <n v="16"/>
  </r>
  <r>
    <n v="118"/>
    <d v="2011-01-06T00:00:00"/>
    <n v="1"/>
    <n v="2011"/>
    <n v="1"/>
    <n v="2"/>
    <s v="Night"/>
    <b v="0"/>
    <s v="Working day"/>
    <n v="4"/>
    <x v="5"/>
    <n v="1"/>
    <x v="0"/>
    <n v="0.16"/>
    <n v="16"/>
  </r>
  <r>
    <n v="119"/>
    <d v="2011-01-06T00:00:00"/>
    <n v="1"/>
    <n v="2011"/>
    <n v="1"/>
    <n v="4"/>
    <s v="Night"/>
    <b v="0"/>
    <s v="Working day"/>
    <n v="4"/>
    <x v="5"/>
    <n v="2"/>
    <x v="1"/>
    <n v="0.16"/>
    <n v="16"/>
  </r>
  <r>
    <n v="120"/>
    <d v="2011-01-06T00:00:00"/>
    <n v="1"/>
    <n v="2011"/>
    <n v="1"/>
    <n v="5"/>
    <s v="Night"/>
    <b v="0"/>
    <s v="Working day"/>
    <n v="4"/>
    <x v="5"/>
    <n v="2"/>
    <x v="1"/>
    <n v="0.14000000000000001"/>
    <n v="14.000000000000002"/>
  </r>
  <r>
    <n v="121"/>
    <d v="2011-01-06T00:00:00"/>
    <n v="1"/>
    <n v="2011"/>
    <n v="1"/>
    <n v="6"/>
    <s v="Morning"/>
    <b v="0"/>
    <s v="Working day"/>
    <n v="4"/>
    <x v="5"/>
    <n v="2"/>
    <x v="1"/>
    <n v="0.14000000000000001"/>
    <n v="14.000000000000002"/>
  </r>
  <r>
    <n v="122"/>
    <d v="2011-01-06T00:00:00"/>
    <n v="1"/>
    <n v="2011"/>
    <n v="1"/>
    <n v="7"/>
    <s v="Morning"/>
    <b v="0"/>
    <s v="Working day"/>
    <n v="4"/>
    <x v="5"/>
    <n v="2"/>
    <x v="1"/>
    <n v="0.16"/>
    <n v="16"/>
  </r>
  <r>
    <n v="123"/>
    <d v="2011-01-06T00:00:00"/>
    <n v="1"/>
    <n v="2011"/>
    <n v="1"/>
    <n v="8"/>
    <s v="Morning"/>
    <b v="0"/>
    <s v="Working day"/>
    <n v="4"/>
    <x v="5"/>
    <n v="1"/>
    <x v="0"/>
    <n v="0.16"/>
    <n v="16"/>
  </r>
  <r>
    <n v="124"/>
    <d v="2011-01-06T00:00:00"/>
    <n v="1"/>
    <n v="2011"/>
    <n v="1"/>
    <n v="9"/>
    <s v="Morning"/>
    <b v="0"/>
    <s v="Working day"/>
    <n v="4"/>
    <x v="5"/>
    <n v="2"/>
    <x v="1"/>
    <n v="0.18"/>
    <n v="18"/>
  </r>
  <r>
    <n v="125"/>
    <d v="2011-01-06T00:00:00"/>
    <n v="1"/>
    <n v="2011"/>
    <n v="1"/>
    <n v="10"/>
    <s v="Morning"/>
    <b v="0"/>
    <s v="Working day"/>
    <n v="4"/>
    <x v="5"/>
    <n v="1"/>
    <x v="0"/>
    <n v="0.2"/>
    <n v="20"/>
  </r>
  <r>
    <n v="126"/>
    <d v="2011-01-06T00:00:00"/>
    <n v="1"/>
    <n v="2011"/>
    <n v="1"/>
    <n v="11"/>
    <s v="Morning"/>
    <b v="0"/>
    <s v="Working day"/>
    <n v="4"/>
    <x v="5"/>
    <n v="1"/>
    <x v="0"/>
    <n v="0.22"/>
    <n v="22"/>
  </r>
  <r>
    <n v="127"/>
    <d v="2011-01-06T00:00:00"/>
    <n v="1"/>
    <n v="2011"/>
    <n v="1"/>
    <n v="12"/>
    <s v="Afternoon"/>
    <b v="0"/>
    <s v="Working day"/>
    <n v="4"/>
    <x v="5"/>
    <n v="1"/>
    <x v="0"/>
    <n v="0.26"/>
    <n v="26"/>
  </r>
  <r>
    <n v="128"/>
    <d v="2011-01-06T00:00:00"/>
    <n v="1"/>
    <n v="2011"/>
    <n v="1"/>
    <n v="13"/>
    <s v="Afternoon"/>
    <b v="0"/>
    <s v="Working day"/>
    <n v="4"/>
    <x v="5"/>
    <n v="1"/>
    <x v="0"/>
    <n v="0.26"/>
    <n v="26"/>
  </r>
  <r>
    <n v="129"/>
    <d v="2011-01-06T00:00:00"/>
    <n v="1"/>
    <n v="2011"/>
    <n v="1"/>
    <n v="14"/>
    <s v="Afternoon"/>
    <b v="0"/>
    <s v="Working day"/>
    <n v="4"/>
    <x v="5"/>
    <n v="1"/>
    <x v="0"/>
    <n v="0.28000000000000003"/>
    <n v="28.000000000000004"/>
  </r>
  <r>
    <n v="130"/>
    <d v="2011-01-06T00:00:00"/>
    <n v="1"/>
    <n v="2011"/>
    <n v="1"/>
    <n v="15"/>
    <s v="Afternoon"/>
    <b v="0"/>
    <s v="Working day"/>
    <n v="4"/>
    <x v="5"/>
    <n v="1"/>
    <x v="0"/>
    <n v="0.28000000000000003"/>
    <n v="28.000000000000004"/>
  </r>
  <r>
    <n v="131"/>
    <d v="2011-01-06T00:00:00"/>
    <n v="1"/>
    <n v="2011"/>
    <n v="1"/>
    <n v="16"/>
    <s v="Afternoon"/>
    <b v="0"/>
    <s v="Working day"/>
    <n v="4"/>
    <x v="5"/>
    <n v="1"/>
    <x v="0"/>
    <n v="0.26"/>
    <n v="26"/>
  </r>
  <r>
    <n v="132"/>
    <d v="2011-01-06T00:00:00"/>
    <n v="1"/>
    <n v="2011"/>
    <n v="1"/>
    <n v="17"/>
    <s v="Afternoon"/>
    <b v="0"/>
    <s v="Working day"/>
    <n v="4"/>
    <x v="5"/>
    <n v="1"/>
    <x v="0"/>
    <n v="0.22"/>
    <n v="22"/>
  </r>
  <r>
    <n v="133"/>
    <d v="2011-01-06T00:00:00"/>
    <n v="1"/>
    <n v="2011"/>
    <n v="1"/>
    <n v="18"/>
    <s v="Evening"/>
    <b v="0"/>
    <s v="Working day"/>
    <n v="4"/>
    <x v="5"/>
    <n v="1"/>
    <x v="0"/>
    <n v="0.22"/>
    <n v="22"/>
  </r>
  <r>
    <n v="134"/>
    <d v="2011-01-06T00:00:00"/>
    <n v="1"/>
    <n v="2011"/>
    <n v="1"/>
    <n v="19"/>
    <s v="Evening"/>
    <b v="0"/>
    <s v="Working day"/>
    <n v="4"/>
    <x v="5"/>
    <n v="1"/>
    <x v="0"/>
    <n v="0.22"/>
    <n v="22"/>
  </r>
  <r>
    <n v="135"/>
    <d v="2011-01-06T00:00:00"/>
    <n v="1"/>
    <n v="2011"/>
    <n v="1"/>
    <n v="20"/>
    <s v="Evening"/>
    <b v="0"/>
    <s v="Working day"/>
    <n v="4"/>
    <x v="5"/>
    <n v="1"/>
    <x v="0"/>
    <n v="0.2"/>
    <n v="20"/>
  </r>
  <r>
    <n v="136"/>
    <d v="2011-01-06T00:00:00"/>
    <n v="1"/>
    <n v="2011"/>
    <n v="1"/>
    <n v="21"/>
    <s v="Evening"/>
    <b v="0"/>
    <s v="Working day"/>
    <n v="4"/>
    <x v="5"/>
    <n v="2"/>
    <x v="1"/>
    <n v="0.22"/>
    <n v="22"/>
  </r>
  <r>
    <n v="137"/>
    <d v="2011-01-06T00:00:00"/>
    <n v="1"/>
    <n v="2011"/>
    <n v="1"/>
    <n v="22"/>
    <s v="Evening"/>
    <b v="0"/>
    <s v="Working day"/>
    <n v="4"/>
    <x v="5"/>
    <n v="2"/>
    <x v="1"/>
    <n v="0.22"/>
    <n v="22"/>
  </r>
  <r>
    <n v="138"/>
    <d v="2011-01-06T00:00:00"/>
    <n v="1"/>
    <n v="2011"/>
    <n v="1"/>
    <n v="23"/>
    <s v="Evening"/>
    <b v="0"/>
    <s v="Working day"/>
    <n v="4"/>
    <x v="5"/>
    <n v="2"/>
    <x v="1"/>
    <n v="0.2"/>
    <n v="20"/>
  </r>
  <r>
    <n v="139"/>
    <d v="2011-01-07T00:00:00"/>
    <n v="1"/>
    <n v="2011"/>
    <n v="1"/>
    <n v="0"/>
    <s v="Night"/>
    <b v="0"/>
    <s v="Working day"/>
    <n v="5"/>
    <x v="6"/>
    <n v="2"/>
    <x v="1"/>
    <n v="0.2"/>
    <n v="20"/>
  </r>
  <r>
    <n v="140"/>
    <d v="2011-01-07T00:00:00"/>
    <n v="1"/>
    <n v="2011"/>
    <n v="1"/>
    <n v="1"/>
    <s v="Night"/>
    <b v="0"/>
    <s v="Working day"/>
    <n v="5"/>
    <x v="6"/>
    <n v="2"/>
    <x v="1"/>
    <n v="0.2"/>
    <n v="20"/>
  </r>
  <r>
    <n v="141"/>
    <d v="2011-01-07T00:00:00"/>
    <n v="1"/>
    <n v="2011"/>
    <n v="1"/>
    <n v="2"/>
    <s v="Night"/>
    <b v="0"/>
    <s v="Working day"/>
    <n v="5"/>
    <x v="6"/>
    <n v="2"/>
    <x v="1"/>
    <n v="0.2"/>
    <n v="20"/>
  </r>
  <r>
    <n v="142"/>
    <d v="2011-01-07T00:00:00"/>
    <n v="1"/>
    <n v="2011"/>
    <n v="1"/>
    <n v="4"/>
    <s v="Night"/>
    <b v="0"/>
    <s v="Working day"/>
    <n v="5"/>
    <x v="6"/>
    <n v="2"/>
    <x v="1"/>
    <n v="0.2"/>
    <n v="20"/>
  </r>
  <r>
    <n v="143"/>
    <d v="2011-01-07T00:00:00"/>
    <n v="1"/>
    <n v="2011"/>
    <n v="1"/>
    <n v="5"/>
    <s v="Night"/>
    <b v="0"/>
    <s v="Working day"/>
    <n v="5"/>
    <x v="6"/>
    <n v="3"/>
    <x v="2"/>
    <n v="0.22"/>
    <n v="22"/>
  </r>
  <r>
    <n v="144"/>
    <d v="2011-01-07T00:00:00"/>
    <n v="1"/>
    <n v="2011"/>
    <n v="1"/>
    <n v="6"/>
    <s v="Morning"/>
    <b v="0"/>
    <s v="Working day"/>
    <n v="5"/>
    <x v="6"/>
    <n v="2"/>
    <x v="1"/>
    <n v="0.2"/>
    <n v="20"/>
  </r>
  <r>
    <n v="145"/>
    <d v="2011-01-07T00:00:00"/>
    <n v="1"/>
    <n v="2011"/>
    <n v="1"/>
    <n v="7"/>
    <s v="Morning"/>
    <b v="0"/>
    <s v="Working day"/>
    <n v="5"/>
    <x v="6"/>
    <n v="1"/>
    <x v="0"/>
    <n v="0.2"/>
    <n v="20"/>
  </r>
  <r>
    <n v="146"/>
    <d v="2011-01-07T00:00:00"/>
    <n v="1"/>
    <n v="2011"/>
    <n v="1"/>
    <n v="8"/>
    <s v="Morning"/>
    <b v="0"/>
    <s v="Working day"/>
    <n v="5"/>
    <x v="6"/>
    <n v="1"/>
    <x v="0"/>
    <n v="0.2"/>
    <n v="20"/>
  </r>
  <r>
    <n v="147"/>
    <d v="2011-01-07T00:00:00"/>
    <n v="1"/>
    <n v="2011"/>
    <n v="1"/>
    <n v="9"/>
    <s v="Morning"/>
    <b v="0"/>
    <s v="Working day"/>
    <n v="5"/>
    <x v="6"/>
    <n v="1"/>
    <x v="0"/>
    <n v="0.2"/>
    <n v="20"/>
  </r>
  <r>
    <n v="148"/>
    <d v="2011-01-07T00:00:00"/>
    <n v="1"/>
    <n v="2011"/>
    <n v="1"/>
    <n v="10"/>
    <s v="Morning"/>
    <b v="0"/>
    <s v="Working day"/>
    <n v="5"/>
    <x v="6"/>
    <n v="1"/>
    <x v="0"/>
    <n v="0.22"/>
    <n v="22"/>
  </r>
  <r>
    <n v="149"/>
    <d v="2011-01-07T00:00:00"/>
    <n v="1"/>
    <n v="2011"/>
    <n v="1"/>
    <n v="11"/>
    <s v="Morning"/>
    <b v="0"/>
    <s v="Working day"/>
    <n v="5"/>
    <x v="6"/>
    <n v="2"/>
    <x v="1"/>
    <n v="0.2"/>
    <n v="20"/>
  </r>
  <r>
    <n v="150"/>
    <d v="2011-01-07T00:00:00"/>
    <n v="1"/>
    <n v="2011"/>
    <n v="1"/>
    <n v="12"/>
    <s v="Afternoon"/>
    <b v="0"/>
    <s v="Working day"/>
    <n v="5"/>
    <x v="6"/>
    <n v="2"/>
    <x v="1"/>
    <n v="0.2"/>
    <n v="20"/>
  </r>
  <r>
    <n v="151"/>
    <d v="2011-01-07T00:00:00"/>
    <n v="1"/>
    <n v="2011"/>
    <n v="1"/>
    <n v="13"/>
    <s v="Afternoon"/>
    <b v="0"/>
    <s v="Working day"/>
    <n v="5"/>
    <x v="6"/>
    <n v="2"/>
    <x v="1"/>
    <n v="0.2"/>
    <n v="20"/>
  </r>
  <r>
    <n v="152"/>
    <d v="2011-01-07T00:00:00"/>
    <n v="1"/>
    <n v="2011"/>
    <n v="1"/>
    <n v="14"/>
    <s v="Afternoon"/>
    <b v="0"/>
    <s v="Working day"/>
    <n v="5"/>
    <x v="6"/>
    <n v="2"/>
    <x v="1"/>
    <n v="0.2"/>
    <n v="20"/>
  </r>
  <r>
    <n v="153"/>
    <d v="2011-01-07T00:00:00"/>
    <n v="1"/>
    <n v="2011"/>
    <n v="1"/>
    <n v="15"/>
    <s v="Afternoon"/>
    <b v="0"/>
    <s v="Working day"/>
    <n v="5"/>
    <x v="6"/>
    <n v="2"/>
    <x v="1"/>
    <n v="0.2"/>
    <n v="20"/>
  </r>
  <r>
    <n v="154"/>
    <d v="2011-01-07T00:00:00"/>
    <n v="1"/>
    <n v="2011"/>
    <n v="1"/>
    <n v="16"/>
    <s v="Afternoon"/>
    <b v="0"/>
    <s v="Working day"/>
    <n v="5"/>
    <x v="6"/>
    <n v="2"/>
    <x v="1"/>
    <n v="0.2"/>
    <n v="20"/>
  </r>
  <r>
    <n v="155"/>
    <d v="2011-01-07T00:00:00"/>
    <n v="1"/>
    <n v="2011"/>
    <n v="1"/>
    <n v="17"/>
    <s v="Afternoon"/>
    <b v="0"/>
    <s v="Working day"/>
    <n v="5"/>
    <x v="6"/>
    <n v="2"/>
    <x v="1"/>
    <n v="0.2"/>
    <n v="20"/>
  </r>
  <r>
    <n v="156"/>
    <d v="2011-01-07T00:00:00"/>
    <n v="1"/>
    <n v="2011"/>
    <n v="1"/>
    <n v="18"/>
    <s v="Evening"/>
    <b v="0"/>
    <s v="Working day"/>
    <n v="5"/>
    <x v="6"/>
    <n v="1"/>
    <x v="0"/>
    <n v="0.2"/>
    <n v="20"/>
  </r>
  <r>
    <n v="157"/>
    <d v="2011-01-07T00:00:00"/>
    <n v="1"/>
    <n v="2011"/>
    <n v="1"/>
    <n v="19"/>
    <s v="Evening"/>
    <b v="0"/>
    <s v="Working day"/>
    <n v="5"/>
    <x v="6"/>
    <n v="1"/>
    <x v="0"/>
    <n v="0.16"/>
    <n v="16"/>
  </r>
  <r>
    <n v="158"/>
    <d v="2011-01-07T00:00:00"/>
    <n v="1"/>
    <n v="2011"/>
    <n v="1"/>
    <n v="20"/>
    <s v="Evening"/>
    <b v="0"/>
    <s v="Working day"/>
    <n v="5"/>
    <x v="6"/>
    <n v="1"/>
    <x v="0"/>
    <n v="0.18"/>
    <n v="18"/>
  </r>
  <r>
    <n v="159"/>
    <d v="2011-01-07T00:00:00"/>
    <n v="1"/>
    <n v="2011"/>
    <n v="1"/>
    <n v="21"/>
    <s v="Evening"/>
    <b v="0"/>
    <s v="Working day"/>
    <n v="5"/>
    <x v="6"/>
    <n v="1"/>
    <x v="0"/>
    <n v="0.18"/>
    <n v="18"/>
  </r>
  <r>
    <n v="160"/>
    <d v="2011-01-07T00:00:00"/>
    <n v="1"/>
    <n v="2011"/>
    <n v="1"/>
    <n v="22"/>
    <s v="Evening"/>
    <b v="0"/>
    <s v="Working day"/>
    <n v="5"/>
    <x v="6"/>
    <n v="2"/>
    <x v="1"/>
    <n v="0.18"/>
    <n v="18"/>
  </r>
  <r>
    <n v="161"/>
    <d v="2011-01-07T00:00:00"/>
    <n v="1"/>
    <n v="2011"/>
    <n v="1"/>
    <n v="23"/>
    <s v="Evening"/>
    <b v="0"/>
    <s v="Working day"/>
    <n v="5"/>
    <x v="6"/>
    <n v="2"/>
    <x v="1"/>
    <n v="0.18"/>
    <n v="18"/>
  </r>
  <r>
    <n v="162"/>
    <d v="2011-01-08T00:00:00"/>
    <n v="1"/>
    <n v="2011"/>
    <n v="1"/>
    <n v="0"/>
    <s v="Night"/>
    <b v="0"/>
    <s v="Working day"/>
    <n v="6"/>
    <x v="0"/>
    <n v="2"/>
    <x v="1"/>
    <n v="0.18"/>
    <n v="18"/>
  </r>
  <r>
    <n v="163"/>
    <d v="2011-01-08T00:00:00"/>
    <n v="1"/>
    <n v="2011"/>
    <n v="1"/>
    <n v="1"/>
    <s v="Night"/>
    <b v="0"/>
    <s v="Working day"/>
    <n v="6"/>
    <x v="0"/>
    <n v="2"/>
    <x v="1"/>
    <n v="0.18"/>
    <n v="18"/>
  </r>
  <r>
    <n v="164"/>
    <d v="2011-01-08T00:00:00"/>
    <n v="1"/>
    <n v="2011"/>
    <n v="1"/>
    <n v="2"/>
    <s v="Night"/>
    <b v="0"/>
    <s v="Working day"/>
    <n v="6"/>
    <x v="0"/>
    <n v="2"/>
    <x v="1"/>
    <n v="0.18"/>
    <n v="18"/>
  </r>
  <r>
    <n v="165"/>
    <d v="2011-01-08T00:00:00"/>
    <n v="1"/>
    <n v="2011"/>
    <n v="1"/>
    <n v="3"/>
    <s v="Night"/>
    <b v="0"/>
    <s v="Working day"/>
    <n v="6"/>
    <x v="0"/>
    <n v="3"/>
    <x v="2"/>
    <n v="0.18"/>
    <n v="18"/>
  </r>
  <r>
    <n v="166"/>
    <d v="2011-01-08T00:00:00"/>
    <n v="1"/>
    <n v="2011"/>
    <n v="1"/>
    <n v="4"/>
    <s v="Night"/>
    <b v="0"/>
    <s v="Working day"/>
    <n v="6"/>
    <x v="0"/>
    <n v="3"/>
    <x v="2"/>
    <n v="0.18"/>
    <n v="18"/>
  </r>
  <r>
    <n v="167"/>
    <d v="2011-01-08T00:00:00"/>
    <n v="1"/>
    <n v="2011"/>
    <n v="1"/>
    <n v="5"/>
    <s v="Night"/>
    <b v="0"/>
    <s v="Working day"/>
    <n v="6"/>
    <x v="0"/>
    <n v="2"/>
    <x v="1"/>
    <n v="0.16"/>
    <n v="16"/>
  </r>
  <r>
    <n v="168"/>
    <d v="2011-01-08T00:00:00"/>
    <n v="1"/>
    <n v="2011"/>
    <n v="1"/>
    <n v="6"/>
    <s v="Morning"/>
    <b v="0"/>
    <s v="Working day"/>
    <n v="6"/>
    <x v="0"/>
    <n v="2"/>
    <x v="1"/>
    <n v="0.16"/>
    <n v="16"/>
  </r>
  <r>
    <n v="169"/>
    <d v="2011-01-08T00:00:00"/>
    <n v="1"/>
    <n v="2011"/>
    <n v="1"/>
    <n v="7"/>
    <s v="Morning"/>
    <b v="0"/>
    <s v="Working day"/>
    <n v="6"/>
    <x v="0"/>
    <n v="2"/>
    <x v="1"/>
    <n v="0.16"/>
    <n v="16"/>
  </r>
  <r>
    <n v="170"/>
    <d v="2011-01-08T00:00:00"/>
    <n v="1"/>
    <n v="2011"/>
    <n v="1"/>
    <n v="8"/>
    <s v="Morning"/>
    <b v="0"/>
    <s v="Working day"/>
    <n v="6"/>
    <x v="0"/>
    <n v="3"/>
    <x v="2"/>
    <n v="0.16"/>
    <n v="16"/>
  </r>
  <r>
    <n v="171"/>
    <d v="2011-01-08T00:00:00"/>
    <n v="1"/>
    <n v="2011"/>
    <n v="1"/>
    <n v="9"/>
    <s v="Morning"/>
    <b v="0"/>
    <s v="Working day"/>
    <n v="6"/>
    <x v="0"/>
    <n v="3"/>
    <x v="2"/>
    <n v="0.16"/>
    <n v="16"/>
  </r>
  <r>
    <n v="172"/>
    <d v="2011-01-08T00:00:00"/>
    <n v="1"/>
    <n v="2011"/>
    <n v="1"/>
    <n v="10"/>
    <s v="Morning"/>
    <b v="0"/>
    <s v="Working day"/>
    <n v="6"/>
    <x v="0"/>
    <n v="2"/>
    <x v="1"/>
    <n v="0.18"/>
    <n v="18"/>
  </r>
  <r>
    <n v="173"/>
    <d v="2011-01-08T00:00:00"/>
    <n v="1"/>
    <n v="2011"/>
    <n v="1"/>
    <n v="11"/>
    <s v="Morning"/>
    <b v="0"/>
    <s v="Working day"/>
    <n v="6"/>
    <x v="0"/>
    <n v="2"/>
    <x v="1"/>
    <n v="0.2"/>
    <n v="20"/>
  </r>
  <r>
    <n v="174"/>
    <d v="2011-01-08T00:00:00"/>
    <n v="1"/>
    <n v="2011"/>
    <n v="1"/>
    <n v="12"/>
    <s v="Afternoon"/>
    <b v="0"/>
    <s v="Working day"/>
    <n v="6"/>
    <x v="0"/>
    <n v="2"/>
    <x v="1"/>
    <n v="0.2"/>
    <n v="20"/>
  </r>
  <r>
    <n v="175"/>
    <d v="2011-01-08T00:00:00"/>
    <n v="1"/>
    <n v="2011"/>
    <n v="1"/>
    <n v="13"/>
    <s v="Afternoon"/>
    <b v="0"/>
    <s v="Working day"/>
    <n v="6"/>
    <x v="0"/>
    <n v="1"/>
    <x v="0"/>
    <n v="0.2"/>
    <n v="20"/>
  </r>
  <r>
    <n v="176"/>
    <d v="2011-01-08T00:00:00"/>
    <n v="1"/>
    <n v="2011"/>
    <n v="1"/>
    <n v="14"/>
    <s v="Afternoon"/>
    <b v="0"/>
    <s v="Working day"/>
    <n v="6"/>
    <x v="0"/>
    <n v="1"/>
    <x v="0"/>
    <n v="0.2"/>
    <n v="20"/>
  </r>
  <r>
    <n v="177"/>
    <d v="2011-01-08T00:00:00"/>
    <n v="1"/>
    <n v="2011"/>
    <n v="1"/>
    <n v="15"/>
    <s v="Afternoon"/>
    <b v="0"/>
    <s v="Working day"/>
    <n v="6"/>
    <x v="0"/>
    <n v="1"/>
    <x v="0"/>
    <n v="0.2"/>
    <n v="20"/>
  </r>
  <r>
    <n v="178"/>
    <d v="2011-01-08T00:00:00"/>
    <n v="1"/>
    <n v="2011"/>
    <n v="1"/>
    <n v="16"/>
    <s v="Afternoon"/>
    <b v="0"/>
    <s v="Working day"/>
    <n v="6"/>
    <x v="0"/>
    <n v="1"/>
    <x v="0"/>
    <n v="0.18"/>
    <n v="18"/>
  </r>
  <r>
    <n v="179"/>
    <d v="2011-01-08T00:00:00"/>
    <n v="1"/>
    <n v="2011"/>
    <n v="1"/>
    <n v="17"/>
    <s v="Afternoon"/>
    <b v="0"/>
    <s v="Working day"/>
    <n v="6"/>
    <x v="0"/>
    <n v="1"/>
    <x v="0"/>
    <n v="0.16"/>
    <n v="16"/>
  </r>
  <r>
    <n v="180"/>
    <d v="2011-01-08T00:00:00"/>
    <n v="1"/>
    <n v="2011"/>
    <n v="1"/>
    <n v="18"/>
    <s v="Evening"/>
    <b v="0"/>
    <s v="Working day"/>
    <n v="6"/>
    <x v="0"/>
    <n v="1"/>
    <x v="0"/>
    <n v="0.14000000000000001"/>
    <n v="14.000000000000002"/>
  </r>
  <r>
    <n v="181"/>
    <d v="2011-01-08T00:00:00"/>
    <n v="1"/>
    <n v="2011"/>
    <n v="1"/>
    <n v="19"/>
    <s v="Evening"/>
    <b v="0"/>
    <s v="Working day"/>
    <n v="6"/>
    <x v="0"/>
    <n v="1"/>
    <x v="0"/>
    <n v="0.14000000000000001"/>
    <n v="14.000000000000002"/>
  </r>
  <r>
    <n v="182"/>
    <d v="2011-01-08T00:00:00"/>
    <n v="1"/>
    <n v="2011"/>
    <n v="1"/>
    <n v="20"/>
    <s v="Evening"/>
    <b v="0"/>
    <s v="Working day"/>
    <n v="6"/>
    <x v="0"/>
    <n v="1"/>
    <x v="0"/>
    <n v="0.12"/>
    <n v="12"/>
  </r>
  <r>
    <n v="183"/>
    <d v="2011-01-08T00:00:00"/>
    <n v="1"/>
    <n v="2011"/>
    <n v="1"/>
    <n v="21"/>
    <s v="Evening"/>
    <b v="0"/>
    <s v="Working day"/>
    <n v="6"/>
    <x v="0"/>
    <n v="1"/>
    <x v="0"/>
    <n v="0.12"/>
    <n v="12"/>
  </r>
  <r>
    <n v="184"/>
    <d v="2011-01-08T00:00:00"/>
    <n v="1"/>
    <n v="2011"/>
    <n v="1"/>
    <n v="22"/>
    <s v="Evening"/>
    <b v="0"/>
    <s v="Working day"/>
    <n v="6"/>
    <x v="0"/>
    <n v="1"/>
    <x v="0"/>
    <n v="0.12"/>
    <n v="12"/>
  </r>
  <r>
    <n v="185"/>
    <d v="2011-01-08T00:00:00"/>
    <n v="1"/>
    <n v="2011"/>
    <n v="1"/>
    <n v="23"/>
    <s v="Evening"/>
    <b v="0"/>
    <s v="Working day"/>
    <n v="6"/>
    <x v="0"/>
    <n v="1"/>
    <x v="0"/>
    <n v="0.1"/>
    <n v="10"/>
  </r>
  <r>
    <n v="186"/>
    <d v="2011-01-09T00:00:00"/>
    <n v="1"/>
    <n v="2011"/>
    <n v="1"/>
    <n v="0"/>
    <s v="Night"/>
    <b v="0"/>
    <s v="Working day"/>
    <n v="0"/>
    <x v="1"/>
    <n v="1"/>
    <x v="0"/>
    <n v="0.1"/>
    <n v="10"/>
  </r>
  <r>
    <n v="187"/>
    <d v="2011-01-09T00:00:00"/>
    <n v="1"/>
    <n v="2011"/>
    <n v="1"/>
    <n v="1"/>
    <s v="Night"/>
    <b v="0"/>
    <s v="Working day"/>
    <n v="0"/>
    <x v="1"/>
    <n v="1"/>
    <x v="0"/>
    <n v="0.1"/>
    <n v="10"/>
  </r>
  <r>
    <n v="188"/>
    <d v="2011-01-09T00:00:00"/>
    <n v="1"/>
    <n v="2011"/>
    <n v="1"/>
    <n v="2"/>
    <s v="Night"/>
    <b v="0"/>
    <s v="Working day"/>
    <n v="0"/>
    <x v="1"/>
    <n v="1"/>
    <x v="0"/>
    <n v="0.1"/>
    <n v="10"/>
  </r>
  <r>
    <n v="189"/>
    <d v="2011-01-09T00:00:00"/>
    <n v="1"/>
    <n v="2011"/>
    <n v="1"/>
    <n v="3"/>
    <s v="Night"/>
    <b v="0"/>
    <s v="Working day"/>
    <n v="0"/>
    <x v="1"/>
    <n v="1"/>
    <x v="0"/>
    <n v="0.1"/>
    <n v="10"/>
  </r>
  <r>
    <n v="190"/>
    <d v="2011-01-09T00:00:00"/>
    <n v="1"/>
    <n v="2011"/>
    <n v="1"/>
    <n v="4"/>
    <s v="Night"/>
    <b v="0"/>
    <s v="Working day"/>
    <n v="0"/>
    <x v="1"/>
    <n v="1"/>
    <x v="0"/>
    <n v="0.08"/>
    <n v="8"/>
  </r>
  <r>
    <n v="191"/>
    <d v="2011-01-09T00:00:00"/>
    <n v="1"/>
    <n v="2011"/>
    <n v="1"/>
    <n v="5"/>
    <s v="Night"/>
    <b v="0"/>
    <s v="Working day"/>
    <n v="0"/>
    <x v="1"/>
    <n v="1"/>
    <x v="0"/>
    <n v="0.08"/>
    <n v="8"/>
  </r>
  <r>
    <n v="192"/>
    <d v="2011-01-09T00:00:00"/>
    <n v="1"/>
    <n v="2011"/>
    <n v="1"/>
    <n v="6"/>
    <s v="Morning"/>
    <b v="0"/>
    <s v="Working day"/>
    <n v="0"/>
    <x v="1"/>
    <n v="1"/>
    <x v="0"/>
    <n v="0.1"/>
    <n v="10"/>
  </r>
  <r>
    <n v="193"/>
    <d v="2011-01-09T00:00:00"/>
    <n v="1"/>
    <n v="2011"/>
    <n v="1"/>
    <n v="7"/>
    <s v="Morning"/>
    <b v="0"/>
    <s v="Working day"/>
    <n v="0"/>
    <x v="1"/>
    <n v="1"/>
    <x v="0"/>
    <n v="0.08"/>
    <n v="8"/>
  </r>
  <r>
    <n v="194"/>
    <d v="2011-01-09T00:00:00"/>
    <n v="1"/>
    <n v="2011"/>
    <n v="1"/>
    <n v="8"/>
    <s v="Morning"/>
    <b v="0"/>
    <s v="Working day"/>
    <n v="0"/>
    <x v="1"/>
    <n v="1"/>
    <x v="0"/>
    <n v="0.1"/>
    <n v="10"/>
  </r>
  <r>
    <n v="195"/>
    <d v="2011-01-09T00:00:00"/>
    <n v="1"/>
    <n v="2011"/>
    <n v="1"/>
    <n v="9"/>
    <s v="Morning"/>
    <b v="0"/>
    <s v="Working day"/>
    <n v="0"/>
    <x v="1"/>
    <n v="1"/>
    <x v="0"/>
    <n v="0.12"/>
    <n v="12"/>
  </r>
  <r>
    <n v="196"/>
    <d v="2011-01-09T00:00:00"/>
    <n v="1"/>
    <n v="2011"/>
    <n v="1"/>
    <n v="10"/>
    <s v="Morning"/>
    <b v="0"/>
    <s v="Working day"/>
    <n v="0"/>
    <x v="1"/>
    <n v="1"/>
    <x v="0"/>
    <n v="0.14000000000000001"/>
    <n v="14.000000000000002"/>
  </r>
  <r>
    <n v="197"/>
    <d v="2011-01-09T00:00:00"/>
    <n v="1"/>
    <n v="2011"/>
    <n v="1"/>
    <n v="11"/>
    <s v="Morning"/>
    <b v="0"/>
    <s v="Working day"/>
    <n v="0"/>
    <x v="1"/>
    <n v="1"/>
    <x v="0"/>
    <n v="0.16"/>
    <n v="16"/>
  </r>
  <r>
    <n v="198"/>
    <d v="2011-01-09T00:00:00"/>
    <n v="1"/>
    <n v="2011"/>
    <n v="1"/>
    <n v="12"/>
    <s v="Afternoon"/>
    <b v="0"/>
    <s v="Working day"/>
    <n v="0"/>
    <x v="1"/>
    <n v="1"/>
    <x v="0"/>
    <n v="0.18"/>
    <n v="18"/>
  </r>
  <r>
    <n v="199"/>
    <d v="2011-01-09T00:00:00"/>
    <n v="1"/>
    <n v="2011"/>
    <n v="1"/>
    <n v="13"/>
    <s v="Afternoon"/>
    <b v="0"/>
    <s v="Working day"/>
    <n v="0"/>
    <x v="1"/>
    <n v="1"/>
    <x v="0"/>
    <n v="0.2"/>
    <n v="20"/>
  </r>
  <r>
    <n v="200"/>
    <d v="2011-01-09T00:00:00"/>
    <n v="1"/>
    <n v="2011"/>
    <n v="1"/>
    <n v="14"/>
    <s v="Afternoon"/>
    <b v="0"/>
    <s v="Working day"/>
    <n v="0"/>
    <x v="1"/>
    <n v="1"/>
    <x v="0"/>
    <n v="0.22"/>
    <n v="22"/>
  </r>
  <r>
    <n v="201"/>
    <d v="2011-01-09T00:00:00"/>
    <n v="1"/>
    <n v="2011"/>
    <n v="1"/>
    <n v="15"/>
    <s v="Afternoon"/>
    <b v="0"/>
    <s v="Working day"/>
    <n v="0"/>
    <x v="1"/>
    <n v="1"/>
    <x v="0"/>
    <n v="0.22"/>
    <n v="22"/>
  </r>
  <r>
    <n v="202"/>
    <d v="2011-01-09T00:00:00"/>
    <n v="1"/>
    <n v="2011"/>
    <n v="1"/>
    <n v="16"/>
    <s v="Afternoon"/>
    <b v="0"/>
    <s v="Working day"/>
    <n v="0"/>
    <x v="1"/>
    <n v="1"/>
    <x v="0"/>
    <n v="0.2"/>
    <n v="20"/>
  </r>
  <r>
    <n v="203"/>
    <d v="2011-01-09T00:00:00"/>
    <n v="1"/>
    <n v="2011"/>
    <n v="1"/>
    <n v="17"/>
    <s v="Afternoon"/>
    <b v="0"/>
    <s v="Working day"/>
    <n v="0"/>
    <x v="1"/>
    <n v="1"/>
    <x v="0"/>
    <n v="0.18"/>
    <n v="18"/>
  </r>
  <r>
    <n v="204"/>
    <d v="2011-01-09T00:00:00"/>
    <n v="1"/>
    <n v="2011"/>
    <n v="1"/>
    <n v="18"/>
    <s v="Evening"/>
    <b v="0"/>
    <s v="Working day"/>
    <n v="0"/>
    <x v="1"/>
    <n v="1"/>
    <x v="0"/>
    <n v="0.16"/>
    <n v="16"/>
  </r>
  <r>
    <n v="205"/>
    <d v="2011-01-09T00:00:00"/>
    <n v="1"/>
    <n v="2011"/>
    <n v="1"/>
    <n v="19"/>
    <s v="Evening"/>
    <b v="0"/>
    <s v="Working day"/>
    <n v="0"/>
    <x v="1"/>
    <n v="1"/>
    <x v="0"/>
    <n v="0.16"/>
    <n v="16"/>
  </r>
  <r>
    <n v="206"/>
    <d v="2011-01-09T00:00:00"/>
    <n v="1"/>
    <n v="2011"/>
    <n v="1"/>
    <n v="20"/>
    <s v="Evening"/>
    <b v="0"/>
    <s v="Working day"/>
    <n v="0"/>
    <x v="1"/>
    <n v="1"/>
    <x v="0"/>
    <n v="0.14000000000000001"/>
    <n v="14.000000000000002"/>
  </r>
  <r>
    <n v="207"/>
    <d v="2011-01-09T00:00:00"/>
    <n v="1"/>
    <n v="2011"/>
    <n v="1"/>
    <n v="21"/>
    <s v="Evening"/>
    <b v="0"/>
    <s v="Working day"/>
    <n v="0"/>
    <x v="1"/>
    <n v="1"/>
    <x v="0"/>
    <n v="0.14000000000000001"/>
    <n v="14.000000000000002"/>
  </r>
  <r>
    <n v="208"/>
    <d v="2011-01-09T00:00:00"/>
    <n v="1"/>
    <n v="2011"/>
    <n v="1"/>
    <n v="22"/>
    <s v="Evening"/>
    <b v="0"/>
    <s v="Working day"/>
    <n v="0"/>
    <x v="1"/>
    <n v="1"/>
    <x v="0"/>
    <n v="0.14000000000000001"/>
    <n v="14.000000000000002"/>
  </r>
  <r>
    <n v="209"/>
    <d v="2011-01-09T00:00:00"/>
    <n v="1"/>
    <n v="2011"/>
    <n v="1"/>
    <n v="23"/>
    <s v="Evening"/>
    <b v="0"/>
    <s v="Working day"/>
    <n v="0"/>
    <x v="1"/>
    <n v="1"/>
    <x v="0"/>
    <n v="0.12"/>
    <n v="12"/>
  </r>
  <r>
    <n v="210"/>
    <d v="2011-01-10T00:00:00"/>
    <n v="1"/>
    <n v="2011"/>
    <n v="1"/>
    <n v="0"/>
    <s v="Night"/>
    <b v="0"/>
    <s v="Working day"/>
    <n v="1"/>
    <x v="2"/>
    <n v="1"/>
    <x v="0"/>
    <n v="0.12"/>
    <n v="12"/>
  </r>
  <r>
    <n v="211"/>
    <d v="2011-01-10T00:00:00"/>
    <n v="1"/>
    <n v="2011"/>
    <n v="1"/>
    <n v="1"/>
    <s v="Night"/>
    <b v="0"/>
    <s v="Working day"/>
    <n v="1"/>
    <x v="2"/>
    <n v="1"/>
    <x v="0"/>
    <n v="0.12"/>
    <n v="12"/>
  </r>
  <r>
    <n v="212"/>
    <d v="2011-01-10T00:00:00"/>
    <n v="1"/>
    <n v="2011"/>
    <n v="1"/>
    <n v="2"/>
    <s v="Night"/>
    <b v="0"/>
    <s v="Working day"/>
    <n v="1"/>
    <x v="2"/>
    <n v="1"/>
    <x v="0"/>
    <n v="0.12"/>
    <n v="12"/>
  </r>
  <r>
    <n v="213"/>
    <d v="2011-01-10T00:00:00"/>
    <n v="1"/>
    <n v="2011"/>
    <n v="1"/>
    <n v="3"/>
    <s v="Night"/>
    <b v="0"/>
    <s v="Working day"/>
    <n v="1"/>
    <x v="2"/>
    <n v="1"/>
    <x v="0"/>
    <n v="0.12"/>
    <n v="12"/>
  </r>
  <r>
    <n v="214"/>
    <d v="2011-01-10T00:00:00"/>
    <n v="1"/>
    <n v="2011"/>
    <n v="1"/>
    <n v="4"/>
    <s v="Night"/>
    <b v="0"/>
    <s v="Working day"/>
    <n v="1"/>
    <x v="2"/>
    <n v="1"/>
    <x v="0"/>
    <n v="0.1"/>
    <n v="10"/>
  </r>
  <r>
    <n v="215"/>
    <d v="2011-01-10T00:00:00"/>
    <n v="1"/>
    <n v="2011"/>
    <n v="1"/>
    <n v="5"/>
    <s v="Night"/>
    <b v="0"/>
    <s v="Working day"/>
    <n v="1"/>
    <x v="2"/>
    <n v="1"/>
    <x v="0"/>
    <n v="0.1"/>
    <n v="10"/>
  </r>
  <r>
    <n v="216"/>
    <d v="2011-01-10T00:00:00"/>
    <n v="1"/>
    <n v="2011"/>
    <n v="1"/>
    <n v="6"/>
    <s v="Morning"/>
    <b v="0"/>
    <s v="Working day"/>
    <n v="1"/>
    <x v="2"/>
    <n v="1"/>
    <x v="0"/>
    <n v="0.12"/>
    <n v="12"/>
  </r>
  <r>
    <n v="217"/>
    <d v="2011-01-10T00:00:00"/>
    <n v="1"/>
    <n v="2011"/>
    <n v="1"/>
    <n v="7"/>
    <s v="Morning"/>
    <b v="0"/>
    <s v="Working day"/>
    <n v="1"/>
    <x v="2"/>
    <n v="1"/>
    <x v="0"/>
    <n v="0.12"/>
    <n v="12"/>
  </r>
  <r>
    <n v="218"/>
    <d v="2011-01-10T00:00:00"/>
    <n v="1"/>
    <n v="2011"/>
    <n v="1"/>
    <n v="8"/>
    <s v="Morning"/>
    <b v="0"/>
    <s v="Working day"/>
    <n v="1"/>
    <x v="2"/>
    <n v="2"/>
    <x v="1"/>
    <n v="0.12"/>
    <n v="12"/>
  </r>
  <r>
    <n v="219"/>
    <d v="2011-01-10T00:00:00"/>
    <n v="1"/>
    <n v="2011"/>
    <n v="1"/>
    <n v="9"/>
    <s v="Morning"/>
    <b v="0"/>
    <s v="Working day"/>
    <n v="1"/>
    <x v="2"/>
    <n v="2"/>
    <x v="1"/>
    <n v="0.14000000000000001"/>
    <n v="14.000000000000002"/>
  </r>
  <r>
    <n v="220"/>
    <d v="2011-01-10T00:00:00"/>
    <n v="1"/>
    <n v="2011"/>
    <n v="1"/>
    <n v="10"/>
    <s v="Morning"/>
    <b v="0"/>
    <s v="Working day"/>
    <n v="1"/>
    <x v="2"/>
    <n v="2"/>
    <x v="1"/>
    <n v="0.14000000000000001"/>
    <n v="14.000000000000002"/>
  </r>
  <r>
    <n v="221"/>
    <d v="2011-01-10T00:00:00"/>
    <n v="1"/>
    <n v="2011"/>
    <n v="1"/>
    <n v="11"/>
    <s v="Morning"/>
    <b v="0"/>
    <s v="Working day"/>
    <n v="1"/>
    <x v="2"/>
    <n v="2"/>
    <x v="1"/>
    <n v="0.16"/>
    <n v="16"/>
  </r>
  <r>
    <n v="222"/>
    <d v="2011-01-10T00:00:00"/>
    <n v="1"/>
    <n v="2011"/>
    <n v="1"/>
    <n v="12"/>
    <s v="Afternoon"/>
    <b v="0"/>
    <s v="Working day"/>
    <n v="1"/>
    <x v="2"/>
    <n v="2"/>
    <x v="1"/>
    <n v="0.2"/>
    <n v="20"/>
  </r>
  <r>
    <n v="223"/>
    <d v="2011-01-10T00:00:00"/>
    <n v="1"/>
    <n v="2011"/>
    <n v="1"/>
    <n v="13"/>
    <s v="Afternoon"/>
    <b v="0"/>
    <s v="Working day"/>
    <n v="1"/>
    <x v="2"/>
    <n v="2"/>
    <x v="1"/>
    <n v="0.2"/>
    <n v="20"/>
  </r>
  <r>
    <n v="224"/>
    <d v="2011-01-10T00:00:00"/>
    <n v="1"/>
    <n v="2011"/>
    <n v="1"/>
    <n v="14"/>
    <s v="Afternoon"/>
    <b v="0"/>
    <s v="Working day"/>
    <n v="1"/>
    <x v="2"/>
    <n v="2"/>
    <x v="1"/>
    <n v="0.2"/>
    <n v="20"/>
  </r>
  <r>
    <n v="225"/>
    <d v="2011-01-10T00:00:00"/>
    <n v="1"/>
    <n v="2011"/>
    <n v="1"/>
    <n v="15"/>
    <s v="Afternoon"/>
    <b v="0"/>
    <s v="Working day"/>
    <n v="1"/>
    <x v="2"/>
    <n v="2"/>
    <x v="1"/>
    <n v="0.2"/>
    <n v="20"/>
  </r>
  <r>
    <n v="226"/>
    <d v="2011-01-10T00:00:00"/>
    <n v="1"/>
    <n v="2011"/>
    <n v="1"/>
    <n v="16"/>
    <s v="Afternoon"/>
    <b v="0"/>
    <s v="Working day"/>
    <n v="1"/>
    <x v="2"/>
    <n v="1"/>
    <x v="0"/>
    <n v="0.2"/>
    <n v="20"/>
  </r>
  <r>
    <n v="227"/>
    <d v="2011-01-10T00:00:00"/>
    <n v="1"/>
    <n v="2011"/>
    <n v="1"/>
    <n v="17"/>
    <s v="Afternoon"/>
    <b v="0"/>
    <s v="Working day"/>
    <n v="1"/>
    <x v="2"/>
    <n v="1"/>
    <x v="0"/>
    <n v="0.2"/>
    <n v="20"/>
  </r>
  <r>
    <n v="228"/>
    <d v="2011-01-10T00:00:00"/>
    <n v="1"/>
    <n v="2011"/>
    <n v="1"/>
    <n v="18"/>
    <s v="Evening"/>
    <b v="0"/>
    <s v="Working day"/>
    <n v="1"/>
    <x v="2"/>
    <n v="1"/>
    <x v="0"/>
    <n v="0.2"/>
    <n v="20"/>
  </r>
  <r>
    <n v="229"/>
    <d v="2011-01-10T00:00:00"/>
    <n v="1"/>
    <n v="2011"/>
    <n v="1"/>
    <n v="19"/>
    <s v="Evening"/>
    <b v="0"/>
    <s v="Working day"/>
    <n v="1"/>
    <x v="2"/>
    <n v="1"/>
    <x v="0"/>
    <n v="0.16"/>
    <n v="16"/>
  </r>
  <r>
    <n v="230"/>
    <d v="2011-01-10T00:00:00"/>
    <n v="1"/>
    <n v="2011"/>
    <n v="1"/>
    <n v="20"/>
    <s v="Evening"/>
    <b v="0"/>
    <s v="Working day"/>
    <n v="1"/>
    <x v="2"/>
    <n v="1"/>
    <x v="0"/>
    <n v="0.16"/>
    <n v="16"/>
  </r>
  <r>
    <n v="231"/>
    <d v="2011-01-10T00:00:00"/>
    <n v="1"/>
    <n v="2011"/>
    <n v="1"/>
    <n v="21"/>
    <s v="Evening"/>
    <b v="0"/>
    <s v="Working day"/>
    <n v="1"/>
    <x v="2"/>
    <n v="1"/>
    <x v="0"/>
    <n v="0.14000000000000001"/>
    <n v="14.000000000000002"/>
  </r>
  <r>
    <n v="232"/>
    <d v="2011-01-10T00:00:00"/>
    <n v="1"/>
    <n v="2011"/>
    <n v="1"/>
    <n v="22"/>
    <s v="Evening"/>
    <b v="0"/>
    <s v="Working day"/>
    <n v="1"/>
    <x v="2"/>
    <n v="1"/>
    <x v="0"/>
    <n v="0.14000000000000001"/>
    <n v="14.000000000000002"/>
  </r>
  <r>
    <n v="233"/>
    <d v="2011-01-10T00:00:00"/>
    <n v="1"/>
    <n v="2011"/>
    <n v="1"/>
    <n v="23"/>
    <s v="Evening"/>
    <b v="0"/>
    <s v="Working day"/>
    <n v="1"/>
    <x v="2"/>
    <n v="1"/>
    <x v="0"/>
    <n v="0.14000000000000001"/>
    <n v="14.000000000000002"/>
  </r>
  <r>
    <n v="234"/>
    <d v="2011-01-11T00:00:00"/>
    <n v="1"/>
    <n v="2011"/>
    <n v="1"/>
    <n v="0"/>
    <s v="Night"/>
    <b v="0"/>
    <s v="Working day"/>
    <n v="2"/>
    <x v="3"/>
    <n v="1"/>
    <x v="0"/>
    <n v="0.14000000000000001"/>
    <n v="14.000000000000002"/>
  </r>
  <r>
    <n v="235"/>
    <d v="2011-01-11T00:00:00"/>
    <n v="1"/>
    <n v="2011"/>
    <n v="1"/>
    <n v="1"/>
    <s v="Night"/>
    <b v="0"/>
    <s v="Working day"/>
    <n v="2"/>
    <x v="3"/>
    <n v="1"/>
    <x v="0"/>
    <n v="0.14000000000000001"/>
    <n v="14.000000000000002"/>
  </r>
  <r>
    <n v="236"/>
    <d v="2011-01-11T00:00:00"/>
    <n v="1"/>
    <n v="2011"/>
    <n v="1"/>
    <n v="2"/>
    <s v="Night"/>
    <b v="0"/>
    <s v="Working day"/>
    <n v="2"/>
    <x v="3"/>
    <n v="2"/>
    <x v="1"/>
    <n v="0.16"/>
    <n v="16"/>
  </r>
  <r>
    <n v="237"/>
    <d v="2011-01-11T00:00:00"/>
    <n v="1"/>
    <n v="2011"/>
    <n v="1"/>
    <n v="5"/>
    <s v="Night"/>
    <b v="0"/>
    <s v="Working day"/>
    <n v="2"/>
    <x v="3"/>
    <n v="2"/>
    <x v="1"/>
    <n v="0.16"/>
    <n v="16"/>
  </r>
  <r>
    <n v="238"/>
    <d v="2011-01-11T00:00:00"/>
    <n v="1"/>
    <n v="2011"/>
    <n v="1"/>
    <n v="6"/>
    <s v="Morning"/>
    <b v="0"/>
    <s v="Working day"/>
    <n v="2"/>
    <x v="3"/>
    <n v="2"/>
    <x v="1"/>
    <n v="0.16"/>
    <n v="16"/>
  </r>
  <r>
    <n v="239"/>
    <d v="2011-01-11T00:00:00"/>
    <n v="1"/>
    <n v="2011"/>
    <n v="1"/>
    <n v="7"/>
    <s v="Morning"/>
    <b v="0"/>
    <s v="Working day"/>
    <n v="2"/>
    <x v="3"/>
    <n v="2"/>
    <x v="1"/>
    <n v="0.16"/>
    <n v="16"/>
  </r>
  <r>
    <n v="240"/>
    <d v="2011-01-11T00:00:00"/>
    <n v="1"/>
    <n v="2011"/>
    <n v="1"/>
    <n v="8"/>
    <s v="Morning"/>
    <b v="0"/>
    <s v="Working day"/>
    <n v="2"/>
    <x v="3"/>
    <n v="2"/>
    <x v="1"/>
    <n v="0.18"/>
    <n v="18"/>
  </r>
  <r>
    <n v="241"/>
    <d v="2011-01-11T00:00:00"/>
    <n v="1"/>
    <n v="2011"/>
    <n v="1"/>
    <n v="9"/>
    <s v="Morning"/>
    <b v="0"/>
    <s v="Working day"/>
    <n v="2"/>
    <x v="3"/>
    <n v="2"/>
    <x v="1"/>
    <n v="0.18"/>
    <n v="18"/>
  </r>
  <r>
    <n v="242"/>
    <d v="2011-01-11T00:00:00"/>
    <n v="1"/>
    <n v="2011"/>
    <n v="1"/>
    <n v="10"/>
    <s v="Morning"/>
    <b v="0"/>
    <s v="Working day"/>
    <n v="2"/>
    <x v="3"/>
    <n v="2"/>
    <x v="1"/>
    <n v="0.2"/>
    <n v="20"/>
  </r>
  <r>
    <n v="243"/>
    <d v="2011-01-11T00:00:00"/>
    <n v="1"/>
    <n v="2011"/>
    <n v="1"/>
    <n v="11"/>
    <s v="Morning"/>
    <b v="0"/>
    <s v="Working day"/>
    <n v="2"/>
    <x v="3"/>
    <n v="2"/>
    <x v="1"/>
    <n v="0.2"/>
    <n v="20"/>
  </r>
  <r>
    <n v="244"/>
    <d v="2011-01-11T00:00:00"/>
    <n v="1"/>
    <n v="2011"/>
    <n v="1"/>
    <n v="12"/>
    <s v="Afternoon"/>
    <b v="0"/>
    <s v="Working day"/>
    <n v="2"/>
    <x v="3"/>
    <n v="2"/>
    <x v="1"/>
    <n v="0.2"/>
    <n v="20"/>
  </r>
  <r>
    <n v="245"/>
    <d v="2011-01-11T00:00:00"/>
    <n v="1"/>
    <n v="2011"/>
    <n v="1"/>
    <n v="13"/>
    <s v="Afternoon"/>
    <b v="0"/>
    <s v="Working day"/>
    <n v="2"/>
    <x v="3"/>
    <n v="2"/>
    <x v="1"/>
    <n v="0.2"/>
    <n v="20"/>
  </r>
  <r>
    <n v="246"/>
    <d v="2011-01-11T00:00:00"/>
    <n v="1"/>
    <n v="2011"/>
    <n v="1"/>
    <n v="14"/>
    <s v="Afternoon"/>
    <b v="0"/>
    <s v="Working day"/>
    <n v="2"/>
    <x v="3"/>
    <n v="2"/>
    <x v="1"/>
    <n v="0.2"/>
    <n v="20"/>
  </r>
  <r>
    <n v="247"/>
    <d v="2011-01-11T00:00:00"/>
    <n v="1"/>
    <n v="2011"/>
    <n v="1"/>
    <n v="15"/>
    <s v="Afternoon"/>
    <b v="0"/>
    <s v="Working day"/>
    <n v="2"/>
    <x v="3"/>
    <n v="2"/>
    <x v="1"/>
    <n v="0.16"/>
    <n v="16"/>
  </r>
  <r>
    <n v="248"/>
    <d v="2011-01-11T00:00:00"/>
    <n v="1"/>
    <n v="2011"/>
    <n v="1"/>
    <n v="16"/>
    <s v="Afternoon"/>
    <b v="0"/>
    <s v="Working day"/>
    <n v="2"/>
    <x v="3"/>
    <n v="2"/>
    <x v="1"/>
    <n v="0.16"/>
    <n v="16"/>
  </r>
  <r>
    <n v="249"/>
    <d v="2011-01-11T00:00:00"/>
    <n v="1"/>
    <n v="2011"/>
    <n v="1"/>
    <n v="17"/>
    <s v="Afternoon"/>
    <b v="0"/>
    <s v="Working day"/>
    <n v="2"/>
    <x v="3"/>
    <n v="2"/>
    <x v="1"/>
    <n v="0.16"/>
    <n v="16"/>
  </r>
  <r>
    <n v="250"/>
    <d v="2011-01-11T00:00:00"/>
    <n v="1"/>
    <n v="2011"/>
    <n v="1"/>
    <n v="18"/>
    <s v="Evening"/>
    <b v="0"/>
    <s v="Working day"/>
    <n v="2"/>
    <x v="3"/>
    <n v="3"/>
    <x v="2"/>
    <n v="0.16"/>
    <n v="16"/>
  </r>
  <r>
    <n v="251"/>
    <d v="2011-01-11T00:00:00"/>
    <n v="1"/>
    <n v="2011"/>
    <n v="1"/>
    <n v="19"/>
    <s v="Evening"/>
    <b v="0"/>
    <s v="Working day"/>
    <n v="2"/>
    <x v="3"/>
    <n v="3"/>
    <x v="2"/>
    <n v="0.16"/>
    <n v="16"/>
  </r>
  <r>
    <n v="252"/>
    <d v="2011-01-11T00:00:00"/>
    <n v="1"/>
    <n v="2011"/>
    <n v="1"/>
    <n v="20"/>
    <s v="Evening"/>
    <b v="0"/>
    <s v="Working day"/>
    <n v="2"/>
    <x v="3"/>
    <n v="3"/>
    <x v="2"/>
    <n v="0.16"/>
    <n v="16"/>
  </r>
  <r>
    <n v="253"/>
    <d v="2011-01-11T00:00:00"/>
    <n v="1"/>
    <n v="2011"/>
    <n v="1"/>
    <n v="21"/>
    <s v="Evening"/>
    <b v="0"/>
    <s v="Working day"/>
    <n v="2"/>
    <x v="3"/>
    <n v="3"/>
    <x v="2"/>
    <n v="0.16"/>
    <n v="16"/>
  </r>
  <r>
    <n v="254"/>
    <d v="2011-01-11T00:00:00"/>
    <n v="1"/>
    <n v="2011"/>
    <n v="1"/>
    <n v="22"/>
    <s v="Evening"/>
    <b v="0"/>
    <s v="Working day"/>
    <n v="2"/>
    <x v="3"/>
    <n v="3"/>
    <x v="2"/>
    <n v="0.16"/>
    <n v="16"/>
  </r>
  <r>
    <n v="255"/>
    <d v="2011-01-11T00:00:00"/>
    <n v="1"/>
    <n v="2011"/>
    <n v="1"/>
    <n v="23"/>
    <s v="Evening"/>
    <b v="0"/>
    <s v="Working day"/>
    <n v="2"/>
    <x v="3"/>
    <n v="3"/>
    <x v="2"/>
    <n v="0.16"/>
    <n v="16"/>
  </r>
  <r>
    <n v="256"/>
    <d v="2011-01-12T00:00:00"/>
    <n v="1"/>
    <n v="2011"/>
    <n v="1"/>
    <n v="0"/>
    <s v="Night"/>
    <b v="0"/>
    <s v="Working day"/>
    <n v="3"/>
    <x v="4"/>
    <n v="2"/>
    <x v="1"/>
    <n v="0.16"/>
    <n v="16"/>
  </r>
  <r>
    <n v="257"/>
    <d v="2011-01-12T00:00:00"/>
    <n v="1"/>
    <n v="2011"/>
    <n v="1"/>
    <n v="1"/>
    <s v="Night"/>
    <b v="0"/>
    <s v="Working day"/>
    <n v="3"/>
    <x v="4"/>
    <n v="2"/>
    <x v="1"/>
    <n v="0.16"/>
    <n v="16"/>
  </r>
  <r>
    <n v="258"/>
    <d v="2011-01-12T00:00:00"/>
    <n v="1"/>
    <n v="2011"/>
    <n v="1"/>
    <n v="2"/>
    <s v="Night"/>
    <b v="0"/>
    <s v="Working day"/>
    <n v="3"/>
    <x v="4"/>
    <n v="1"/>
    <x v="0"/>
    <n v="0.14000000000000001"/>
    <n v="14.000000000000002"/>
  </r>
  <r>
    <n v="259"/>
    <d v="2011-01-12T00:00:00"/>
    <n v="1"/>
    <n v="2011"/>
    <n v="1"/>
    <n v="5"/>
    <s v="Night"/>
    <b v="0"/>
    <s v="Working day"/>
    <n v="3"/>
    <x v="4"/>
    <n v="1"/>
    <x v="0"/>
    <n v="0.14000000000000001"/>
    <n v="14.000000000000002"/>
  </r>
  <r>
    <n v="260"/>
    <d v="2011-01-12T00:00:00"/>
    <n v="1"/>
    <n v="2011"/>
    <n v="1"/>
    <n v="6"/>
    <s v="Morning"/>
    <b v="0"/>
    <s v="Working day"/>
    <n v="3"/>
    <x v="4"/>
    <n v="1"/>
    <x v="0"/>
    <n v="0.12"/>
    <n v="12"/>
  </r>
  <r>
    <n v="261"/>
    <d v="2011-01-12T00:00:00"/>
    <n v="1"/>
    <n v="2011"/>
    <n v="1"/>
    <n v="7"/>
    <s v="Morning"/>
    <b v="0"/>
    <s v="Working day"/>
    <n v="3"/>
    <x v="4"/>
    <n v="1"/>
    <x v="0"/>
    <n v="0.14000000000000001"/>
    <n v="14.000000000000002"/>
  </r>
  <r>
    <n v="262"/>
    <d v="2011-01-12T00:00:00"/>
    <n v="1"/>
    <n v="2011"/>
    <n v="1"/>
    <n v="8"/>
    <s v="Morning"/>
    <b v="0"/>
    <s v="Working day"/>
    <n v="3"/>
    <x v="4"/>
    <n v="1"/>
    <x v="0"/>
    <n v="0.16"/>
    <n v="16"/>
  </r>
  <r>
    <n v="263"/>
    <d v="2011-01-12T00:00:00"/>
    <n v="1"/>
    <n v="2011"/>
    <n v="1"/>
    <n v="9"/>
    <s v="Morning"/>
    <b v="0"/>
    <s v="Working day"/>
    <n v="3"/>
    <x v="4"/>
    <n v="1"/>
    <x v="0"/>
    <n v="0.16"/>
    <n v="16"/>
  </r>
  <r>
    <n v="264"/>
    <d v="2011-01-12T00:00:00"/>
    <n v="1"/>
    <n v="2011"/>
    <n v="1"/>
    <n v="10"/>
    <s v="Morning"/>
    <b v="0"/>
    <s v="Working day"/>
    <n v="3"/>
    <x v="4"/>
    <n v="1"/>
    <x v="0"/>
    <n v="0.18"/>
    <n v="18"/>
  </r>
  <r>
    <n v="265"/>
    <d v="2011-01-12T00:00:00"/>
    <n v="1"/>
    <n v="2011"/>
    <n v="1"/>
    <n v="11"/>
    <s v="Morning"/>
    <b v="0"/>
    <s v="Working day"/>
    <n v="3"/>
    <x v="4"/>
    <n v="1"/>
    <x v="0"/>
    <n v="0.2"/>
    <n v="20"/>
  </r>
  <r>
    <n v="266"/>
    <d v="2011-01-12T00:00:00"/>
    <n v="1"/>
    <n v="2011"/>
    <n v="1"/>
    <n v="12"/>
    <s v="Afternoon"/>
    <b v="0"/>
    <s v="Working day"/>
    <n v="3"/>
    <x v="4"/>
    <n v="1"/>
    <x v="0"/>
    <n v="0.2"/>
    <n v="20"/>
  </r>
  <r>
    <n v="267"/>
    <d v="2011-01-12T00:00:00"/>
    <n v="1"/>
    <n v="2011"/>
    <n v="1"/>
    <n v="13"/>
    <s v="Afternoon"/>
    <b v="0"/>
    <s v="Working day"/>
    <n v="3"/>
    <x v="4"/>
    <n v="1"/>
    <x v="0"/>
    <n v="0.22"/>
    <n v="22"/>
  </r>
  <r>
    <n v="268"/>
    <d v="2011-01-12T00:00:00"/>
    <n v="1"/>
    <n v="2011"/>
    <n v="1"/>
    <n v="14"/>
    <s v="Afternoon"/>
    <b v="0"/>
    <s v="Working day"/>
    <n v="3"/>
    <x v="4"/>
    <n v="1"/>
    <x v="0"/>
    <n v="0.2"/>
    <n v="20"/>
  </r>
  <r>
    <n v="269"/>
    <d v="2011-01-12T00:00:00"/>
    <n v="1"/>
    <n v="2011"/>
    <n v="1"/>
    <n v="15"/>
    <s v="Afternoon"/>
    <b v="0"/>
    <s v="Working day"/>
    <n v="3"/>
    <x v="4"/>
    <n v="1"/>
    <x v="0"/>
    <n v="0.2"/>
    <n v="20"/>
  </r>
  <r>
    <n v="270"/>
    <d v="2011-01-12T00:00:00"/>
    <n v="1"/>
    <n v="2011"/>
    <n v="1"/>
    <n v="16"/>
    <s v="Afternoon"/>
    <b v="0"/>
    <s v="Working day"/>
    <n v="3"/>
    <x v="4"/>
    <n v="1"/>
    <x v="0"/>
    <n v="0.22"/>
    <n v="22"/>
  </r>
  <r>
    <n v="271"/>
    <d v="2011-01-12T00:00:00"/>
    <n v="1"/>
    <n v="2011"/>
    <n v="1"/>
    <n v="17"/>
    <s v="Afternoon"/>
    <b v="0"/>
    <s v="Working day"/>
    <n v="3"/>
    <x v="4"/>
    <n v="1"/>
    <x v="0"/>
    <n v="0.2"/>
    <n v="20"/>
  </r>
  <r>
    <n v="272"/>
    <d v="2011-01-12T00:00:00"/>
    <n v="1"/>
    <n v="2011"/>
    <n v="1"/>
    <n v="18"/>
    <s v="Evening"/>
    <b v="0"/>
    <s v="Working day"/>
    <n v="3"/>
    <x v="4"/>
    <n v="1"/>
    <x v="0"/>
    <n v="0.2"/>
    <n v="20"/>
  </r>
  <r>
    <n v="273"/>
    <d v="2011-01-12T00:00:00"/>
    <n v="1"/>
    <n v="2011"/>
    <n v="1"/>
    <n v="19"/>
    <s v="Evening"/>
    <b v="0"/>
    <s v="Working day"/>
    <n v="3"/>
    <x v="4"/>
    <n v="1"/>
    <x v="0"/>
    <n v="0.18"/>
    <n v="18"/>
  </r>
  <r>
    <n v="274"/>
    <d v="2011-01-12T00:00:00"/>
    <n v="1"/>
    <n v="2011"/>
    <n v="1"/>
    <n v="20"/>
    <s v="Evening"/>
    <b v="0"/>
    <s v="Working day"/>
    <n v="3"/>
    <x v="4"/>
    <n v="1"/>
    <x v="0"/>
    <n v="0.16"/>
    <n v="16"/>
  </r>
  <r>
    <n v="275"/>
    <d v="2011-01-12T00:00:00"/>
    <n v="1"/>
    <n v="2011"/>
    <n v="1"/>
    <n v="21"/>
    <s v="Evening"/>
    <b v="0"/>
    <s v="Working day"/>
    <n v="3"/>
    <x v="4"/>
    <n v="1"/>
    <x v="0"/>
    <n v="0.16"/>
    <n v="16"/>
  </r>
  <r>
    <n v="276"/>
    <d v="2011-01-12T00:00:00"/>
    <n v="1"/>
    <n v="2011"/>
    <n v="1"/>
    <n v="22"/>
    <s v="Evening"/>
    <b v="0"/>
    <s v="Working day"/>
    <n v="3"/>
    <x v="4"/>
    <n v="1"/>
    <x v="0"/>
    <n v="0.16"/>
    <n v="16"/>
  </r>
  <r>
    <n v="277"/>
    <d v="2011-01-12T00:00:00"/>
    <n v="1"/>
    <n v="2011"/>
    <n v="1"/>
    <n v="23"/>
    <s v="Evening"/>
    <b v="0"/>
    <s v="Working day"/>
    <n v="3"/>
    <x v="4"/>
    <n v="1"/>
    <x v="0"/>
    <n v="0.14000000000000001"/>
    <n v="14.000000000000002"/>
  </r>
  <r>
    <n v="278"/>
    <d v="2011-01-13T00:00:00"/>
    <n v="1"/>
    <n v="2011"/>
    <n v="1"/>
    <n v="0"/>
    <s v="Night"/>
    <b v="0"/>
    <s v="Working day"/>
    <n v="4"/>
    <x v="5"/>
    <n v="1"/>
    <x v="0"/>
    <n v="0.14000000000000001"/>
    <n v="14.000000000000002"/>
  </r>
  <r>
    <n v="279"/>
    <d v="2011-01-13T00:00:00"/>
    <n v="1"/>
    <n v="2011"/>
    <n v="1"/>
    <n v="1"/>
    <s v="Night"/>
    <b v="0"/>
    <s v="Working day"/>
    <n v="4"/>
    <x v="5"/>
    <n v="1"/>
    <x v="0"/>
    <n v="0.14000000000000001"/>
    <n v="14.000000000000002"/>
  </r>
  <r>
    <n v="280"/>
    <d v="2011-01-13T00:00:00"/>
    <n v="1"/>
    <n v="2011"/>
    <n v="1"/>
    <n v="2"/>
    <s v="Night"/>
    <b v="0"/>
    <s v="Working day"/>
    <n v="4"/>
    <x v="5"/>
    <n v="1"/>
    <x v="0"/>
    <n v="0.14000000000000001"/>
    <n v="14.000000000000002"/>
  </r>
  <r>
    <n v="281"/>
    <d v="2011-01-13T00:00:00"/>
    <n v="1"/>
    <n v="2011"/>
    <n v="1"/>
    <n v="3"/>
    <s v="Night"/>
    <b v="0"/>
    <s v="Working day"/>
    <n v="4"/>
    <x v="5"/>
    <n v="1"/>
    <x v="0"/>
    <n v="0.14000000000000001"/>
    <n v="14.000000000000002"/>
  </r>
  <r>
    <n v="282"/>
    <d v="2011-01-13T00:00:00"/>
    <n v="1"/>
    <n v="2011"/>
    <n v="1"/>
    <n v="4"/>
    <s v="Night"/>
    <b v="0"/>
    <s v="Working day"/>
    <n v="4"/>
    <x v="5"/>
    <n v="1"/>
    <x v="0"/>
    <n v="0.14000000000000001"/>
    <n v="14.000000000000002"/>
  </r>
  <r>
    <n v="283"/>
    <d v="2011-01-13T00:00:00"/>
    <n v="1"/>
    <n v="2011"/>
    <n v="1"/>
    <n v="5"/>
    <s v="Night"/>
    <b v="0"/>
    <s v="Working day"/>
    <n v="4"/>
    <x v="5"/>
    <n v="1"/>
    <x v="0"/>
    <n v="0.14000000000000001"/>
    <n v="14.000000000000002"/>
  </r>
  <r>
    <n v="284"/>
    <d v="2011-01-13T00:00:00"/>
    <n v="1"/>
    <n v="2011"/>
    <n v="1"/>
    <n v="6"/>
    <s v="Morning"/>
    <b v="0"/>
    <s v="Working day"/>
    <n v="4"/>
    <x v="5"/>
    <n v="1"/>
    <x v="0"/>
    <n v="0.12"/>
    <n v="12"/>
  </r>
  <r>
    <n v="285"/>
    <d v="2011-01-13T00:00:00"/>
    <n v="1"/>
    <n v="2011"/>
    <n v="1"/>
    <n v="7"/>
    <s v="Morning"/>
    <b v="0"/>
    <s v="Working day"/>
    <n v="4"/>
    <x v="5"/>
    <n v="1"/>
    <x v="0"/>
    <n v="0.12"/>
    <n v="12"/>
  </r>
  <r>
    <n v="286"/>
    <d v="2011-01-13T00:00:00"/>
    <n v="1"/>
    <n v="2011"/>
    <n v="1"/>
    <n v="8"/>
    <s v="Morning"/>
    <b v="0"/>
    <s v="Working day"/>
    <n v="4"/>
    <x v="5"/>
    <n v="1"/>
    <x v="0"/>
    <n v="0.14000000000000001"/>
    <n v="14.000000000000002"/>
  </r>
  <r>
    <n v="287"/>
    <d v="2011-01-13T00:00:00"/>
    <n v="1"/>
    <n v="2011"/>
    <n v="1"/>
    <n v="9"/>
    <s v="Morning"/>
    <b v="0"/>
    <s v="Working day"/>
    <n v="4"/>
    <x v="5"/>
    <n v="1"/>
    <x v="0"/>
    <n v="0.14000000000000001"/>
    <n v="14.000000000000002"/>
  </r>
  <r>
    <n v="288"/>
    <d v="2011-01-13T00:00:00"/>
    <n v="1"/>
    <n v="2011"/>
    <n v="1"/>
    <n v="10"/>
    <s v="Morning"/>
    <b v="0"/>
    <s v="Working day"/>
    <n v="4"/>
    <x v="5"/>
    <n v="2"/>
    <x v="1"/>
    <n v="0.16"/>
    <n v="16"/>
  </r>
  <r>
    <n v="289"/>
    <d v="2011-01-13T00:00:00"/>
    <n v="1"/>
    <n v="2011"/>
    <n v="1"/>
    <n v="11"/>
    <s v="Morning"/>
    <b v="0"/>
    <s v="Working day"/>
    <n v="4"/>
    <x v="5"/>
    <n v="2"/>
    <x v="1"/>
    <n v="0.2"/>
    <n v="20"/>
  </r>
  <r>
    <n v="290"/>
    <d v="2011-01-13T00:00:00"/>
    <n v="1"/>
    <n v="2011"/>
    <n v="1"/>
    <n v="12"/>
    <s v="Afternoon"/>
    <b v="0"/>
    <s v="Working day"/>
    <n v="4"/>
    <x v="5"/>
    <n v="1"/>
    <x v="0"/>
    <n v="0.2"/>
    <n v="20"/>
  </r>
  <r>
    <n v="291"/>
    <d v="2011-01-13T00:00:00"/>
    <n v="1"/>
    <n v="2011"/>
    <n v="1"/>
    <n v="13"/>
    <s v="Afternoon"/>
    <b v="0"/>
    <s v="Working day"/>
    <n v="4"/>
    <x v="5"/>
    <n v="1"/>
    <x v="0"/>
    <n v="0.22"/>
    <n v="22"/>
  </r>
  <r>
    <n v="292"/>
    <d v="2011-01-13T00:00:00"/>
    <n v="1"/>
    <n v="2011"/>
    <n v="1"/>
    <n v="14"/>
    <s v="Afternoon"/>
    <b v="0"/>
    <s v="Working day"/>
    <n v="4"/>
    <x v="5"/>
    <n v="1"/>
    <x v="0"/>
    <n v="0.22"/>
    <n v="22"/>
  </r>
  <r>
    <n v="293"/>
    <d v="2011-01-13T00:00:00"/>
    <n v="1"/>
    <n v="2011"/>
    <n v="1"/>
    <n v="15"/>
    <s v="Afternoon"/>
    <b v="0"/>
    <s v="Working day"/>
    <n v="4"/>
    <x v="5"/>
    <n v="1"/>
    <x v="0"/>
    <n v="0.24"/>
    <n v="24"/>
  </r>
  <r>
    <n v="294"/>
    <d v="2011-01-13T00:00:00"/>
    <n v="1"/>
    <n v="2011"/>
    <n v="1"/>
    <n v="16"/>
    <s v="Afternoon"/>
    <b v="0"/>
    <s v="Working day"/>
    <n v="4"/>
    <x v="5"/>
    <n v="1"/>
    <x v="0"/>
    <n v="0.24"/>
    <n v="24"/>
  </r>
  <r>
    <n v="295"/>
    <d v="2011-01-13T00:00:00"/>
    <n v="1"/>
    <n v="2011"/>
    <n v="1"/>
    <n v="17"/>
    <s v="Afternoon"/>
    <b v="0"/>
    <s v="Working day"/>
    <n v="4"/>
    <x v="5"/>
    <n v="1"/>
    <x v="0"/>
    <n v="0.2"/>
    <n v="20"/>
  </r>
  <r>
    <n v="296"/>
    <d v="2011-01-13T00:00:00"/>
    <n v="1"/>
    <n v="2011"/>
    <n v="1"/>
    <n v="18"/>
    <s v="Evening"/>
    <b v="0"/>
    <s v="Working day"/>
    <n v="4"/>
    <x v="5"/>
    <n v="1"/>
    <x v="0"/>
    <n v="0.2"/>
    <n v="20"/>
  </r>
  <r>
    <n v="297"/>
    <d v="2011-01-13T00:00:00"/>
    <n v="1"/>
    <n v="2011"/>
    <n v="1"/>
    <n v="19"/>
    <s v="Evening"/>
    <b v="0"/>
    <s v="Working day"/>
    <n v="4"/>
    <x v="5"/>
    <n v="1"/>
    <x v="0"/>
    <n v="0.16"/>
    <n v="16"/>
  </r>
  <r>
    <n v="298"/>
    <d v="2011-01-13T00:00:00"/>
    <n v="1"/>
    <n v="2011"/>
    <n v="1"/>
    <n v="20"/>
    <s v="Evening"/>
    <b v="0"/>
    <s v="Working day"/>
    <n v="4"/>
    <x v="5"/>
    <n v="1"/>
    <x v="0"/>
    <n v="0.16"/>
    <n v="16"/>
  </r>
  <r>
    <n v="299"/>
    <d v="2011-01-13T00:00:00"/>
    <n v="1"/>
    <n v="2011"/>
    <n v="1"/>
    <n v="21"/>
    <s v="Evening"/>
    <b v="0"/>
    <s v="Working day"/>
    <n v="4"/>
    <x v="5"/>
    <n v="1"/>
    <x v="0"/>
    <n v="0.14000000000000001"/>
    <n v="14.000000000000002"/>
  </r>
  <r>
    <n v="300"/>
    <d v="2011-01-13T00:00:00"/>
    <n v="1"/>
    <n v="2011"/>
    <n v="1"/>
    <n v="22"/>
    <s v="Evening"/>
    <b v="0"/>
    <s v="Working day"/>
    <n v="4"/>
    <x v="5"/>
    <n v="1"/>
    <x v="0"/>
    <n v="0.14000000000000001"/>
    <n v="14.000000000000002"/>
  </r>
  <r>
    <n v="301"/>
    <d v="2011-01-13T00:00:00"/>
    <n v="1"/>
    <n v="2011"/>
    <n v="1"/>
    <n v="23"/>
    <s v="Evening"/>
    <b v="0"/>
    <s v="Working day"/>
    <n v="4"/>
    <x v="5"/>
    <n v="1"/>
    <x v="0"/>
    <n v="0.12"/>
    <n v="12"/>
  </r>
  <r>
    <n v="302"/>
    <d v="2011-01-14T00:00:00"/>
    <n v="1"/>
    <n v="2011"/>
    <n v="1"/>
    <n v="0"/>
    <s v="Night"/>
    <b v="0"/>
    <s v="Working day"/>
    <n v="5"/>
    <x v="6"/>
    <n v="1"/>
    <x v="0"/>
    <n v="0.12"/>
    <n v="12"/>
  </r>
  <r>
    <n v="303"/>
    <d v="2011-01-14T00:00:00"/>
    <n v="1"/>
    <n v="2011"/>
    <n v="1"/>
    <n v="1"/>
    <s v="Night"/>
    <b v="0"/>
    <s v="Working day"/>
    <n v="5"/>
    <x v="6"/>
    <n v="1"/>
    <x v="0"/>
    <n v="0.1"/>
    <n v="10"/>
  </r>
  <r>
    <n v="304"/>
    <d v="2011-01-14T00:00:00"/>
    <n v="1"/>
    <n v="2011"/>
    <n v="1"/>
    <n v="2"/>
    <s v="Night"/>
    <b v="0"/>
    <s v="Working day"/>
    <n v="5"/>
    <x v="6"/>
    <n v="1"/>
    <x v="0"/>
    <n v="0.1"/>
    <n v="10"/>
  </r>
  <r>
    <n v="305"/>
    <d v="2011-01-14T00:00:00"/>
    <n v="1"/>
    <n v="2011"/>
    <n v="1"/>
    <n v="3"/>
    <s v="Night"/>
    <b v="0"/>
    <s v="Working day"/>
    <n v="5"/>
    <x v="6"/>
    <n v="1"/>
    <x v="0"/>
    <n v="0.1"/>
    <n v="10"/>
  </r>
  <r>
    <n v="306"/>
    <d v="2011-01-14T00:00:00"/>
    <n v="1"/>
    <n v="2011"/>
    <n v="1"/>
    <n v="5"/>
    <s v="Night"/>
    <b v="0"/>
    <s v="Working day"/>
    <n v="5"/>
    <x v="6"/>
    <n v="1"/>
    <x v="0"/>
    <n v="0.1"/>
    <n v="10"/>
  </r>
  <r>
    <n v="307"/>
    <d v="2011-01-14T00:00:00"/>
    <n v="1"/>
    <n v="2011"/>
    <n v="1"/>
    <n v="6"/>
    <s v="Morning"/>
    <b v="0"/>
    <s v="Working day"/>
    <n v="5"/>
    <x v="6"/>
    <n v="1"/>
    <x v="0"/>
    <n v="0.1"/>
    <n v="10"/>
  </r>
  <r>
    <n v="308"/>
    <d v="2011-01-14T00:00:00"/>
    <n v="1"/>
    <n v="2011"/>
    <n v="1"/>
    <n v="7"/>
    <s v="Morning"/>
    <b v="0"/>
    <s v="Working day"/>
    <n v="5"/>
    <x v="6"/>
    <n v="1"/>
    <x v="0"/>
    <n v="0.1"/>
    <n v="10"/>
  </r>
  <r>
    <n v="309"/>
    <d v="2011-01-14T00:00:00"/>
    <n v="1"/>
    <n v="2011"/>
    <n v="1"/>
    <n v="8"/>
    <s v="Morning"/>
    <b v="0"/>
    <s v="Working day"/>
    <n v="5"/>
    <x v="6"/>
    <n v="1"/>
    <x v="0"/>
    <n v="0.12"/>
    <n v="12"/>
  </r>
  <r>
    <n v="310"/>
    <d v="2011-01-14T00:00:00"/>
    <n v="1"/>
    <n v="2011"/>
    <n v="1"/>
    <n v="9"/>
    <s v="Morning"/>
    <b v="0"/>
    <s v="Working day"/>
    <n v="5"/>
    <x v="6"/>
    <n v="1"/>
    <x v="0"/>
    <n v="0.14000000000000001"/>
    <n v="14.000000000000002"/>
  </r>
  <r>
    <n v="311"/>
    <d v="2011-01-14T00:00:00"/>
    <n v="1"/>
    <n v="2011"/>
    <n v="1"/>
    <n v="10"/>
    <s v="Morning"/>
    <b v="0"/>
    <s v="Working day"/>
    <n v="5"/>
    <x v="6"/>
    <n v="1"/>
    <x v="0"/>
    <n v="0.18"/>
    <n v="18"/>
  </r>
  <r>
    <n v="312"/>
    <d v="2011-01-14T00:00:00"/>
    <n v="1"/>
    <n v="2011"/>
    <n v="1"/>
    <n v="11"/>
    <s v="Morning"/>
    <b v="0"/>
    <s v="Working day"/>
    <n v="5"/>
    <x v="6"/>
    <n v="1"/>
    <x v="0"/>
    <n v="0.18"/>
    <n v="18"/>
  </r>
  <r>
    <n v="313"/>
    <d v="2011-01-14T00:00:00"/>
    <n v="1"/>
    <n v="2011"/>
    <n v="1"/>
    <n v="12"/>
    <s v="Afternoon"/>
    <b v="0"/>
    <s v="Working day"/>
    <n v="5"/>
    <x v="6"/>
    <n v="1"/>
    <x v="0"/>
    <n v="0.2"/>
    <n v="20"/>
  </r>
  <r>
    <n v="314"/>
    <d v="2011-01-14T00:00:00"/>
    <n v="1"/>
    <n v="2011"/>
    <n v="1"/>
    <n v="13"/>
    <s v="Afternoon"/>
    <b v="0"/>
    <s v="Working day"/>
    <n v="5"/>
    <x v="6"/>
    <n v="1"/>
    <x v="0"/>
    <n v="0.22"/>
    <n v="22"/>
  </r>
  <r>
    <n v="315"/>
    <d v="2011-01-14T00:00:00"/>
    <n v="1"/>
    <n v="2011"/>
    <n v="1"/>
    <n v="14"/>
    <s v="Afternoon"/>
    <b v="0"/>
    <s v="Working day"/>
    <n v="5"/>
    <x v="6"/>
    <n v="1"/>
    <x v="0"/>
    <n v="0.22"/>
    <n v="22"/>
  </r>
  <r>
    <n v="316"/>
    <d v="2011-01-14T00:00:00"/>
    <n v="1"/>
    <n v="2011"/>
    <n v="1"/>
    <n v="15"/>
    <s v="Afternoon"/>
    <b v="0"/>
    <s v="Working day"/>
    <n v="5"/>
    <x v="6"/>
    <n v="1"/>
    <x v="0"/>
    <n v="0.24"/>
    <n v="24"/>
  </r>
  <r>
    <n v="317"/>
    <d v="2011-01-14T00:00:00"/>
    <n v="1"/>
    <n v="2011"/>
    <n v="1"/>
    <n v="16"/>
    <s v="Afternoon"/>
    <b v="0"/>
    <s v="Working day"/>
    <n v="5"/>
    <x v="6"/>
    <n v="1"/>
    <x v="0"/>
    <n v="0.22"/>
    <n v="22"/>
  </r>
  <r>
    <n v="318"/>
    <d v="2011-01-14T00:00:00"/>
    <n v="1"/>
    <n v="2011"/>
    <n v="1"/>
    <n v="17"/>
    <s v="Afternoon"/>
    <b v="0"/>
    <s v="Working day"/>
    <n v="5"/>
    <x v="6"/>
    <n v="1"/>
    <x v="0"/>
    <n v="0.22"/>
    <n v="22"/>
  </r>
  <r>
    <n v="319"/>
    <d v="2011-01-14T00:00:00"/>
    <n v="1"/>
    <n v="2011"/>
    <n v="1"/>
    <n v="18"/>
    <s v="Evening"/>
    <b v="0"/>
    <s v="Working day"/>
    <n v="5"/>
    <x v="6"/>
    <n v="1"/>
    <x v="0"/>
    <n v="0.2"/>
    <n v="20"/>
  </r>
  <r>
    <n v="320"/>
    <d v="2011-01-14T00:00:00"/>
    <n v="1"/>
    <n v="2011"/>
    <n v="1"/>
    <n v="19"/>
    <s v="Evening"/>
    <b v="0"/>
    <s v="Working day"/>
    <n v="5"/>
    <x v="6"/>
    <n v="1"/>
    <x v="0"/>
    <n v="0.16"/>
    <n v="16"/>
  </r>
  <r>
    <n v="321"/>
    <d v="2011-01-14T00:00:00"/>
    <n v="1"/>
    <n v="2011"/>
    <n v="1"/>
    <n v="20"/>
    <s v="Evening"/>
    <b v="0"/>
    <s v="Working day"/>
    <n v="5"/>
    <x v="6"/>
    <n v="1"/>
    <x v="0"/>
    <n v="0.18"/>
    <n v="18"/>
  </r>
  <r>
    <n v="322"/>
    <d v="2011-01-14T00:00:00"/>
    <n v="1"/>
    <n v="2011"/>
    <n v="1"/>
    <n v="21"/>
    <s v="Evening"/>
    <b v="0"/>
    <s v="Working day"/>
    <n v="5"/>
    <x v="6"/>
    <n v="1"/>
    <x v="0"/>
    <n v="0.16"/>
    <n v="16"/>
  </r>
  <r>
    <n v="323"/>
    <d v="2011-01-14T00:00:00"/>
    <n v="1"/>
    <n v="2011"/>
    <n v="1"/>
    <n v="22"/>
    <s v="Evening"/>
    <b v="0"/>
    <s v="Working day"/>
    <n v="5"/>
    <x v="6"/>
    <n v="2"/>
    <x v="1"/>
    <n v="0.16"/>
    <n v="16"/>
  </r>
  <r>
    <n v="324"/>
    <d v="2011-01-14T00:00:00"/>
    <n v="1"/>
    <n v="2011"/>
    <n v="1"/>
    <n v="23"/>
    <s v="Evening"/>
    <b v="0"/>
    <s v="Working day"/>
    <n v="5"/>
    <x v="6"/>
    <n v="2"/>
    <x v="1"/>
    <n v="0.18"/>
    <n v="18"/>
  </r>
  <r>
    <n v="325"/>
    <d v="2011-01-15T00:00:00"/>
    <n v="1"/>
    <n v="2011"/>
    <n v="1"/>
    <n v="0"/>
    <s v="Night"/>
    <b v="0"/>
    <s v="Working day"/>
    <n v="6"/>
    <x v="0"/>
    <n v="1"/>
    <x v="0"/>
    <n v="0.18"/>
    <n v="18"/>
  </r>
  <r>
    <n v="326"/>
    <d v="2011-01-15T00:00:00"/>
    <n v="1"/>
    <n v="2011"/>
    <n v="1"/>
    <n v="1"/>
    <s v="Night"/>
    <b v="0"/>
    <s v="Working day"/>
    <n v="6"/>
    <x v="0"/>
    <n v="2"/>
    <x v="1"/>
    <n v="0.16"/>
    <n v="16"/>
  </r>
  <r>
    <n v="327"/>
    <d v="2011-01-15T00:00:00"/>
    <n v="1"/>
    <n v="2011"/>
    <n v="1"/>
    <n v="2"/>
    <s v="Night"/>
    <b v="0"/>
    <s v="Working day"/>
    <n v="6"/>
    <x v="0"/>
    <n v="2"/>
    <x v="1"/>
    <n v="0.16"/>
    <n v="16"/>
  </r>
  <r>
    <n v="328"/>
    <d v="2011-01-15T00:00:00"/>
    <n v="1"/>
    <n v="2011"/>
    <n v="1"/>
    <n v="3"/>
    <s v="Night"/>
    <b v="0"/>
    <s v="Working day"/>
    <n v="6"/>
    <x v="0"/>
    <n v="2"/>
    <x v="1"/>
    <n v="0.16"/>
    <n v="16"/>
  </r>
  <r>
    <n v="329"/>
    <d v="2011-01-15T00:00:00"/>
    <n v="1"/>
    <n v="2011"/>
    <n v="1"/>
    <n v="4"/>
    <s v="Night"/>
    <b v="0"/>
    <s v="Working day"/>
    <n v="6"/>
    <x v="0"/>
    <n v="2"/>
    <x v="1"/>
    <n v="0.16"/>
    <n v="16"/>
  </r>
  <r>
    <n v="330"/>
    <d v="2011-01-15T00:00:00"/>
    <n v="1"/>
    <n v="2011"/>
    <n v="1"/>
    <n v="5"/>
    <s v="Night"/>
    <b v="0"/>
    <s v="Working day"/>
    <n v="6"/>
    <x v="0"/>
    <n v="1"/>
    <x v="0"/>
    <n v="0.16"/>
    <n v="16"/>
  </r>
  <r>
    <n v="331"/>
    <d v="2011-01-15T00:00:00"/>
    <n v="1"/>
    <n v="2011"/>
    <n v="1"/>
    <n v="6"/>
    <s v="Morning"/>
    <b v="0"/>
    <s v="Working day"/>
    <n v="6"/>
    <x v="0"/>
    <n v="1"/>
    <x v="0"/>
    <n v="0.14000000000000001"/>
    <n v="14.000000000000002"/>
  </r>
  <r>
    <n v="332"/>
    <d v="2011-01-15T00:00:00"/>
    <n v="1"/>
    <n v="2011"/>
    <n v="1"/>
    <n v="7"/>
    <s v="Morning"/>
    <b v="0"/>
    <s v="Working day"/>
    <n v="6"/>
    <x v="0"/>
    <n v="1"/>
    <x v="0"/>
    <n v="0.14000000000000001"/>
    <n v="14.000000000000002"/>
  </r>
  <r>
    <n v="333"/>
    <d v="2011-01-15T00:00:00"/>
    <n v="1"/>
    <n v="2011"/>
    <n v="1"/>
    <n v="8"/>
    <s v="Morning"/>
    <b v="0"/>
    <s v="Working day"/>
    <n v="6"/>
    <x v="0"/>
    <n v="1"/>
    <x v="0"/>
    <n v="0.14000000000000001"/>
    <n v="14.000000000000002"/>
  </r>
  <r>
    <n v="334"/>
    <d v="2011-01-15T00:00:00"/>
    <n v="1"/>
    <n v="2011"/>
    <n v="1"/>
    <n v="9"/>
    <s v="Morning"/>
    <b v="0"/>
    <s v="Working day"/>
    <n v="6"/>
    <x v="0"/>
    <n v="1"/>
    <x v="0"/>
    <n v="0.16"/>
    <n v="16"/>
  </r>
  <r>
    <n v="335"/>
    <d v="2011-01-15T00:00:00"/>
    <n v="1"/>
    <n v="2011"/>
    <n v="1"/>
    <n v="10"/>
    <s v="Morning"/>
    <b v="0"/>
    <s v="Working day"/>
    <n v="6"/>
    <x v="0"/>
    <n v="1"/>
    <x v="0"/>
    <n v="0.18"/>
    <n v="18"/>
  </r>
  <r>
    <n v="336"/>
    <d v="2011-01-15T00:00:00"/>
    <n v="1"/>
    <n v="2011"/>
    <n v="1"/>
    <n v="11"/>
    <s v="Morning"/>
    <b v="0"/>
    <s v="Working day"/>
    <n v="6"/>
    <x v="0"/>
    <n v="1"/>
    <x v="0"/>
    <n v="0.2"/>
    <n v="20"/>
  </r>
  <r>
    <n v="337"/>
    <d v="2011-01-15T00:00:00"/>
    <n v="1"/>
    <n v="2011"/>
    <n v="1"/>
    <n v="12"/>
    <s v="Afternoon"/>
    <b v="0"/>
    <s v="Working day"/>
    <n v="6"/>
    <x v="0"/>
    <n v="1"/>
    <x v="0"/>
    <n v="0.24"/>
    <n v="24"/>
  </r>
  <r>
    <n v="338"/>
    <d v="2011-01-15T00:00:00"/>
    <n v="1"/>
    <n v="2011"/>
    <n v="1"/>
    <n v="13"/>
    <s v="Afternoon"/>
    <b v="0"/>
    <s v="Working day"/>
    <n v="6"/>
    <x v="0"/>
    <n v="1"/>
    <x v="0"/>
    <n v="0.28000000000000003"/>
    <n v="28.000000000000004"/>
  </r>
  <r>
    <n v="339"/>
    <d v="2011-01-15T00:00:00"/>
    <n v="1"/>
    <n v="2011"/>
    <n v="1"/>
    <n v="14"/>
    <s v="Afternoon"/>
    <b v="0"/>
    <s v="Working day"/>
    <n v="6"/>
    <x v="0"/>
    <n v="1"/>
    <x v="0"/>
    <n v="0.3"/>
    <n v="30"/>
  </r>
  <r>
    <n v="340"/>
    <d v="2011-01-15T00:00:00"/>
    <n v="1"/>
    <n v="2011"/>
    <n v="1"/>
    <n v="15"/>
    <s v="Afternoon"/>
    <b v="0"/>
    <s v="Working day"/>
    <n v="6"/>
    <x v="0"/>
    <n v="2"/>
    <x v="1"/>
    <n v="0.32"/>
    <n v="32"/>
  </r>
  <r>
    <n v="341"/>
    <d v="2011-01-15T00:00:00"/>
    <n v="1"/>
    <n v="2011"/>
    <n v="1"/>
    <n v="16"/>
    <s v="Afternoon"/>
    <b v="0"/>
    <s v="Working day"/>
    <n v="6"/>
    <x v="0"/>
    <n v="2"/>
    <x v="1"/>
    <n v="0.34"/>
    <n v="34"/>
  </r>
  <r>
    <n v="342"/>
    <d v="2011-01-15T00:00:00"/>
    <n v="1"/>
    <n v="2011"/>
    <n v="1"/>
    <n v="17"/>
    <s v="Afternoon"/>
    <b v="0"/>
    <s v="Working day"/>
    <n v="6"/>
    <x v="0"/>
    <n v="2"/>
    <x v="1"/>
    <n v="0.32"/>
    <n v="32"/>
  </r>
  <r>
    <n v="343"/>
    <d v="2011-01-15T00:00:00"/>
    <n v="1"/>
    <n v="2011"/>
    <n v="1"/>
    <n v="18"/>
    <s v="Evening"/>
    <b v="0"/>
    <s v="Working day"/>
    <n v="6"/>
    <x v="0"/>
    <n v="2"/>
    <x v="1"/>
    <n v="0.3"/>
    <n v="30"/>
  </r>
  <r>
    <n v="344"/>
    <d v="2011-01-15T00:00:00"/>
    <n v="1"/>
    <n v="2011"/>
    <n v="1"/>
    <n v="19"/>
    <s v="Evening"/>
    <b v="0"/>
    <s v="Working day"/>
    <n v="6"/>
    <x v="0"/>
    <n v="2"/>
    <x v="1"/>
    <n v="0.32"/>
    <n v="32"/>
  </r>
  <r>
    <n v="345"/>
    <d v="2011-01-15T00:00:00"/>
    <n v="1"/>
    <n v="2011"/>
    <n v="1"/>
    <n v="20"/>
    <s v="Evening"/>
    <b v="0"/>
    <s v="Working day"/>
    <n v="6"/>
    <x v="0"/>
    <n v="2"/>
    <x v="1"/>
    <n v="0.32"/>
    <n v="32"/>
  </r>
  <r>
    <n v="346"/>
    <d v="2011-01-15T00:00:00"/>
    <n v="1"/>
    <n v="2011"/>
    <n v="1"/>
    <n v="21"/>
    <s v="Evening"/>
    <b v="0"/>
    <s v="Working day"/>
    <n v="6"/>
    <x v="0"/>
    <n v="2"/>
    <x v="1"/>
    <n v="0.32"/>
    <n v="32"/>
  </r>
  <r>
    <n v="347"/>
    <d v="2011-01-15T00:00:00"/>
    <n v="1"/>
    <n v="2011"/>
    <n v="1"/>
    <n v="22"/>
    <s v="Evening"/>
    <b v="0"/>
    <s v="Working day"/>
    <n v="6"/>
    <x v="0"/>
    <n v="2"/>
    <x v="1"/>
    <n v="0.3"/>
    <n v="30"/>
  </r>
  <r>
    <n v="348"/>
    <d v="2011-01-15T00:00:00"/>
    <n v="1"/>
    <n v="2011"/>
    <n v="1"/>
    <n v="23"/>
    <s v="Evening"/>
    <b v="0"/>
    <s v="Working day"/>
    <n v="6"/>
    <x v="0"/>
    <n v="1"/>
    <x v="0"/>
    <n v="0.3"/>
    <n v="30"/>
  </r>
  <r>
    <n v="349"/>
    <d v="2011-01-16T00:00:00"/>
    <n v="1"/>
    <n v="2011"/>
    <n v="1"/>
    <n v="0"/>
    <s v="Night"/>
    <b v="0"/>
    <s v="Working day"/>
    <n v="0"/>
    <x v="1"/>
    <n v="1"/>
    <x v="0"/>
    <n v="0.26"/>
    <n v="26"/>
  </r>
  <r>
    <n v="350"/>
    <d v="2011-01-16T00:00:00"/>
    <n v="1"/>
    <n v="2011"/>
    <n v="1"/>
    <n v="1"/>
    <s v="Night"/>
    <b v="0"/>
    <s v="Working day"/>
    <n v="0"/>
    <x v="1"/>
    <n v="1"/>
    <x v="0"/>
    <n v="0.26"/>
    <n v="26"/>
  </r>
  <r>
    <n v="351"/>
    <d v="2011-01-16T00:00:00"/>
    <n v="1"/>
    <n v="2011"/>
    <n v="1"/>
    <n v="2"/>
    <s v="Night"/>
    <b v="0"/>
    <s v="Working day"/>
    <n v="0"/>
    <x v="1"/>
    <n v="1"/>
    <x v="0"/>
    <n v="0.26"/>
    <n v="26"/>
  </r>
  <r>
    <n v="352"/>
    <d v="2011-01-16T00:00:00"/>
    <n v="1"/>
    <n v="2011"/>
    <n v="1"/>
    <n v="3"/>
    <s v="Night"/>
    <b v="0"/>
    <s v="Working day"/>
    <n v="0"/>
    <x v="1"/>
    <n v="1"/>
    <x v="0"/>
    <n v="0.22"/>
    <n v="22"/>
  </r>
  <r>
    <n v="353"/>
    <d v="2011-01-16T00:00:00"/>
    <n v="1"/>
    <n v="2011"/>
    <n v="1"/>
    <n v="4"/>
    <s v="Night"/>
    <b v="0"/>
    <s v="Working day"/>
    <n v="0"/>
    <x v="1"/>
    <n v="1"/>
    <x v="0"/>
    <n v="0.26"/>
    <n v="26"/>
  </r>
  <r>
    <n v="354"/>
    <d v="2011-01-16T00:00:00"/>
    <n v="1"/>
    <n v="2011"/>
    <n v="1"/>
    <n v="5"/>
    <s v="Night"/>
    <b v="0"/>
    <s v="Working day"/>
    <n v="0"/>
    <x v="1"/>
    <n v="2"/>
    <x v="1"/>
    <n v="0.26"/>
    <n v="26"/>
  </r>
  <r>
    <n v="355"/>
    <d v="2011-01-16T00:00:00"/>
    <n v="1"/>
    <n v="2011"/>
    <n v="1"/>
    <n v="6"/>
    <s v="Morning"/>
    <b v="0"/>
    <s v="Working day"/>
    <n v="0"/>
    <x v="1"/>
    <n v="2"/>
    <x v="1"/>
    <n v="0.26"/>
    <n v="26"/>
  </r>
  <r>
    <n v="356"/>
    <d v="2011-01-16T00:00:00"/>
    <n v="1"/>
    <n v="2011"/>
    <n v="1"/>
    <n v="7"/>
    <s v="Morning"/>
    <b v="0"/>
    <s v="Working day"/>
    <n v="0"/>
    <x v="1"/>
    <n v="2"/>
    <x v="1"/>
    <n v="0.24"/>
    <n v="24"/>
  </r>
  <r>
    <n v="357"/>
    <d v="2011-01-16T00:00:00"/>
    <n v="1"/>
    <n v="2011"/>
    <n v="1"/>
    <n v="8"/>
    <s v="Morning"/>
    <b v="0"/>
    <s v="Working day"/>
    <n v="0"/>
    <x v="1"/>
    <n v="1"/>
    <x v="0"/>
    <n v="0.22"/>
    <n v="22"/>
  </r>
  <r>
    <n v="358"/>
    <d v="2011-01-16T00:00:00"/>
    <n v="1"/>
    <n v="2011"/>
    <n v="1"/>
    <n v="9"/>
    <s v="Morning"/>
    <b v="0"/>
    <s v="Working day"/>
    <n v="0"/>
    <x v="1"/>
    <n v="1"/>
    <x v="0"/>
    <n v="0.22"/>
    <n v="22"/>
  </r>
  <r>
    <n v="359"/>
    <d v="2011-01-16T00:00:00"/>
    <n v="1"/>
    <n v="2011"/>
    <n v="1"/>
    <n v="10"/>
    <s v="Morning"/>
    <b v="0"/>
    <s v="Working day"/>
    <n v="0"/>
    <x v="1"/>
    <n v="1"/>
    <x v="0"/>
    <n v="0.22"/>
    <n v="22"/>
  </r>
  <r>
    <n v="360"/>
    <d v="2011-01-16T00:00:00"/>
    <n v="1"/>
    <n v="2011"/>
    <n v="1"/>
    <n v="11"/>
    <s v="Morning"/>
    <b v="0"/>
    <s v="Working day"/>
    <n v="0"/>
    <x v="1"/>
    <n v="1"/>
    <x v="0"/>
    <n v="0.24"/>
    <n v="24"/>
  </r>
  <r>
    <n v="361"/>
    <d v="2011-01-16T00:00:00"/>
    <n v="1"/>
    <n v="2011"/>
    <n v="1"/>
    <n v="12"/>
    <s v="Afternoon"/>
    <b v="0"/>
    <s v="Working day"/>
    <n v="0"/>
    <x v="1"/>
    <n v="1"/>
    <x v="0"/>
    <n v="0.24"/>
    <n v="24"/>
  </r>
  <r>
    <n v="362"/>
    <d v="2011-01-16T00:00:00"/>
    <n v="1"/>
    <n v="2011"/>
    <n v="1"/>
    <n v="13"/>
    <s v="Afternoon"/>
    <b v="0"/>
    <s v="Working day"/>
    <n v="0"/>
    <x v="1"/>
    <n v="1"/>
    <x v="0"/>
    <n v="0.26"/>
    <n v="26"/>
  </r>
  <r>
    <n v="363"/>
    <d v="2011-01-16T00:00:00"/>
    <n v="1"/>
    <n v="2011"/>
    <n v="1"/>
    <n v="14"/>
    <s v="Afternoon"/>
    <b v="0"/>
    <s v="Working day"/>
    <n v="0"/>
    <x v="1"/>
    <n v="1"/>
    <x v="0"/>
    <n v="0.28000000000000003"/>
    <n v="28.000000000000004"/>
  </r>
  <r>
    <n v="364"/>
    <d v="2011-01-16T00:00:00"/>
    <n v="1"/>
    <n v="2011"/>
    <n v="1"/>
    <n v="15"/>
    <s v="Afternoon"/>
    <b v="0"/>
    <s v="Working day"/>
    <n v="0"/>
    <x v="1"/>
    <n v="1"/>
    <x v="0"/>
    <n v="0.26"/>
    <n v="26"/>
  </r>
  <r>
    <n v="365"/>
    <d v="2011-01-16T00:00:00"/>
    <n v="1"/>
    <n v="2011"/>
    <n v="1"/>
    <n v="16"/>
    <s v="Afternoon"/>
    <b v="0"/>
    <s v="Working day"/>
    <n v="0"/>
    <x v="1"/>
    <n v="1"/>
    <x v="0"/>
    <n v="0.24"/>
    <n v="24"/>
  </r>
  <r>
    <n v="366"/>
    <d v="2011-01-16T00:00:00"/>
    <n v="1"/>
    <n v="2011"/>
    <n v="1"/>
    <n v="17"/>
    <s v="Afternoon"/>
    <b v="0"/>
    <s v="Working day"/>
    <n v="0"/>
    <x v="1"/>
    <n v="1"/>
    <x v="0"/>
    <n v="0.22"/>
    <n v="22"/>
  </r>
  <r>
    <n v="367"/>
    <d v="2011-01-16T00:00:00"/>
    <n v="1"/>
    <n v="2011"/>
    <n v="1"/>
    <n v="18"/>
    <s v="Evening"/>
    <b v="0"/>
    <s v="Working day"/>
    <n v="0"/>
    <x v="1"/>
    <n v="1"/>
    <x v="0"/>
    <n v="0.2"/>
    <n v="20"/>
  </r>
  <r>
    <n v="368"/>
    <d v="2011-01-16T00:00:00"/>
    <n v="1"/>
    <n v="2011"/>
    <n v="1"/>
    <n v="19"/>
    <s v="Evening"/>
    <b v="0"/>
    <s v="Working day"/>
    <n v="0"/>
    <x v="1"/>
    <n v="1"/>
    <x v="0"/>
    <n v="0.18"/>
    <n v="18"/>
  </r>
  <r>
    <n v="369"/>
    <d v="2011-01-16T00:00:00"/>
    <n v="1"/>
    <n v="2011"/>
    <n v="1"/>
    <n v="20"/>
    <s v="Evening"/>
    <b v="0"/>
    <s v="Working day"/>
    <n v="0"/>
    <x v="1"/>
    <n v="1"/>
    <x v="0"/>
    <n v="0.18"/>
    <n v="18"/>
  </r>
  <r>
    <n v="370"/>
    <d v="2011-01-16T00:00:00"/>
    <n v="1"/>
    <n v="2011"/>
    <n v="1"/>
    <n v="21"/>
    <s v="Evening"/>
    <b v="0"/>
    <s v="Working day"/>
    <n v="0"/>
    <x v="1"/>
    <n v="1"/>
    <x v="0"/>
    <n v="0.18"/>
    <n v="18"/>
  </r>
  <r>
    <n v="371"/>
    <d v="2011-01-16T00:00:00"/>
    <n v="1"/>
    <n v="2011"/>
    <n v="1"/>
    <n v="22"/>
    <s v="Evening"/>
    <b v="0"/>
    <s v="Working day"/>
    <n v="0"/>
    <x v="1"/>
    <n v="2"/>
    <x v="1"/>
    <n v="0.2"/>
    <n v="20"/>
  </r>
  <r>
    <n v="372"/>
    <d v="2011-01-16T00:00:00"/>
    <n v="1"/>
    <n v="2011"/>
    <n v="1"/>
    <n v="23"/>
    <s v="Evening"/>
    <b v="0"/>
    <s v="Working day"/>
    <n v="0"/>
    <x v="1"/>
    <n v="2"/>
    <x v="1"/>
    <n v="0.2"/>
    <n v="20"/>
  </r>
  <r>
    <n v="373"/>
    <d v="2011-01-17T00:00:00"/>
    <n v="1"/>
    <n v="2011"/>
    <n v="1"/>
    <n v="0"/>
    <s v="Night"/>
    <b v="1"/>
    <s v="Holiday"/>
    <n v="1"/>
    <x v="2"/>
    <n v="2"/>
    <x v="1"/>
    <n v="0.2"/>
    <n v="20"/>
  </r>
  <r>
    <n v="374"/>
    <d v="2011-01-17T00:00:00"/>
    <n v="1"/>
    <n v="2011"/>
    <n v="1"/>
    <n v="1"/>
    <s v="Night"/>
    <b v="1"/>
    <s v="Holiday"/>
    <n v="1"/>
    <x v="2"/>
    <n v="2"/>
    <x v="1"/>
    <n v="0.2"/>
    <n v="20"/>
  </r>
  <r>
    <n v="375"/>
    <d v="2011-01-17T00:00:00"/>
    <n v="1"/>
    <n v="2011"/>
    <n v="1"/>
    <n v="2"/>
    <s v="Night"/>
    <b v="1"/>
    <s v="Holiday"/>
    <n v="1"/>
    <x v="2"/>
    <n v="2"/>
    <x v="1"/>
    <n v="0.18"/>
    <n v="18"/>
  </r>
  <r>
    <n v="376"/>
    <d v="2011-01-17T00:00:00"/>
    <n v="1"/>
    <n v="2011"/>
    <n v="1"/>
    <n v="3"/>
    <s v="Night"/>
    <b v="1"/>
    <s v="Holiday"/>
    <n v="1"/>
    <x v="2"/>
    <n v="2"/>
    <x v="1"/>
    <n v="0.18"/>
    <n v="18"/>
  </r>
  <r>
    <n v="377"/>
    <d v="2011-01-17T00:00:00"/>
    <n v="1"/>
    <n v="2011"/>
    <n v="1"/>
    <n v="4"/>
    <s v="Night"/>
    <b v="1"/>
    <s v="Holiday"/>
    <n v="1"/>
    <x v="2"/>
    <n v="2"/>
    <x v="1"/>
    <n v="0.18"/>
    <n v="18"/>
  </r>
  <r>
    <n v="378"/>
    <d v="2011-01-17T00:00:00"/>
    <n v="1"/>
    <n v="2011"/>
    <n v="1"/>
    <n v="5"/>
    <s v="Night"/>
    <b v="1"/>
    <s v="Holiday"/>
    <n v="1"/>
    <x v="2"/>
    <n v="2"/>
    <x v="1"/>
    <n v="0.18"/>
    <n v="18"/>
  </r>
  <r>
    <n v="379"/>
    <d v="2011-01-17T00:00:00"/>
    <n v="1"/>
    <n v="2011"/>
    <n v="1"/>
    <n v="6"/>
    <s v="Morning"/>
    <b v="1"/>
    <s v="Holiday"/>
    <n v="1"/>
    <x v="2"/>
    <n v="2"/>
    <x v="1"/>
    <n v="0.18"/>
    <n v="18"/>
  </r>
  <r>
    <n v="380"/>
    <d v="2011-01-17T00:00:00"/>
    <n v="1"/>
    <n v="2011"/>
    <n v="1"/>
    <n v="7"/>
    <s v="Morning"/>
    <b v="1"/>
    <s v="Holiday"/>
    <n v="1"/>
    <x v="2"/>
    <n v="2"/>
    <x v="1"/>
    <n v="0.16"/>
    <n v="16"/>
  </r>
  <r>
    <n v="381"/>
    <d v="2011-01-17T00:00:00"/>
    <n v="1"/>
    <n v="2011"/>
    <n v="1"/>
    <n v="8"/>
    <s v="Morning"/>
    <b v="1"/>
    <s v="Holiday"/>
    <n v="1"/>
    <x v="2"/>
    <n v="2"/>
    <x v="1"/>
    <n v="0.16"/>
    <n v="16"/>
  </r>
  <r>
    <n v="382"/>
    <d v="2011-01-17T00:00:00"/>
    <n v="1"/>
    <n v="2011"/>
    <n v="1"/>
    <n v="9"/>
    <s v="Morning"/>
    <b v="1"/>
    <s v="Holiday"/>
    <n v="1"/>
    <x v="2"/>
    <n v="2"/>
    <x v="1"/>
    <n v="0.16"/>
    <n v="16"/>
  </r>
  <r>
    <n v="383"/>
    <d v="2011-01-17T00:00:00"/>
    <n v="1"/>
    <n v="2011"/>
    <n v="1"/>
    <n v="10"/>
    <s v="Morning"/>
    <b v="1"/>
    <s v="Holiday"/>
    <n v="1"/>
    <x v="2"/>
    <n v="2"/>
    <x v="1"/>
    <n v="0.16"/>
    <n v="16"/>
  </r>
  <r>
    <n v="384"/>
    <d v="2011-01-17T00:00:00"/>
    <n v="1"/>
    <n v="2011"/>
    <n v="1"/>
    <n v="11"/>
    <s v="Morning"/>
    <b v="1"/>
    <s v="Holiday"/>
    <n v="1"/>
    <x v="2"/>
    <n v="2"/>
    <x v="1"/>
    <n v="0.16"/>
    <n v="16"/>
  </r>
  <r>
    <n v="385"/>
    <d v="2011-01-17T00:00:00"/>
    <n v="1"/>
    <n v="2011"/>
    <n v="1"/>
    <n v="12"/>
    <s v="Afternoon"/>
    <b v="1"/>
    <s v="Holiday"/>
    <n v="1"/>
    <x v="2"/>
    <n v="2"/>
    <x v="1"/>
    <n v="0.18"/>
    <n v="18"/>
  </r>
  <r>
    <n v="386"/>
    <d v="2011-01-17T00:00:00"/>
    <n v="1"/>
    <n v="2011"/>
    <n v="1"/>
    <n v="13"/>
    <s v="Afternoon"/>
    <b v="1"/>
    <s v="Holiday"/>
    <n v="1"/>
    <x v="2"/>
    <n v="2"/>
    <x v="1"/>
    <n v="0.18"/>
    <n v="18"/>
  </r>
  <r>
    <n v="387"/>
    <d v="2011-01-17T00:00:00"/>
    <n v="1"/>
    <n v="2011"/>
    <n v="1"/>
    <n v="14"/>
    <s v="Afternoon"/>
    <b v="1"/>
    <s v="Holiday"/>
    <n v="1"/>
    <x v="2"/>
    <n v="2"/>
    <x v="1"/>
    <n v="0.18"/>
    <n v="18"/>
  </r>
  <r>
    <n v="388"/>
    <d v="2011-01-17T00:00:00"/>
    <n v="1"/>
    <n v="2011"/>
    <n v="1"/>
    <n v="15"/>
    <s v="Afternoon"/>
    <b v="1"/>
    <s v="Holiday"/>
    <n v="1"/>
    <x v="2"/>
    <n v="2"/>
    <x v="1"/>
    <n v="0.2"/>
    <n v="20"/>
  </r>
  <r>
    <n v="389"/>
    <d v="2011-01-17T00:00:00"/>
    <n v="1"/>
    <n v="2011"/>
    <n v="1"/>
    <n v="16"/>
    <s v="Afternoon"/>
    <b v="1"/>
    <s v="Holiday"/>
    <n v="1"/>
    <x v="2"/>
    <n v="2"/>
    <x v="1"/>
    <n v="0.2"/>
    <n v="20"/>
  </r>
  <r>
    <n v="390"/>
    <d v="2011-01-17T00:00:00"/>
    <n v="1"/>
    <n v="2011"/>
    <n v="1"/>
    <n v="17"/>
    <s v="Afternoon"/>
    <b v="1"/>
    <s v="Holiday"/>
    <n v="1"/>
    <x v="2"/>
    <n v="1"/>
    <x v="0"/>
    <n v="0.2"/>
    <n v="20"/>
  </r>
  <r>
    <n v="391"/>
    <d v="2011-01-17T00:00:00"/>
    <n v="1"/>
    <n v="2011"/>
    <n v="1"/>
    <n v="18"/>
    <s v="Evening"/>
    <b v="1"/>
    <s v="Holiday"/>
    <n v="1"/>
    <x v="2"/>
    <n v="2"/>
    <x v="1"/>
    <n v="0.18"/>
    <n v="18"/>
  </r>
  <r>
    <n v="392"/>
    <d v="2011-01-17T00:00:00"/>
    <n v="1"/>
    <n v="2011"/>
    <n v="1"/>
    <n v="19"/>
    <s v="Evening"/>
    <b v="1"/>
    <s v="Holiday"/>
    <n v="1"/>
    <x v="2"/>
    <n v="3"/>
    <x v="2"/>
    <n v="0.18"/>
    <n v="18"/>
  </r>
  <r>
    <n v="393"/>
    <d v="2011-01-17T00:00:00"/>
    <n v="1"/>
    <n v="2011"/>
    <n v="1"/>
    <n v="20"/>
    <s v="Evening"/>
    <b v="1"/>
    <s v="Holiday"/>
    <n v="1"/>
    <x v="2"/>
    <n v="3"/>
    <x v="2"/>
    <n v="0.16"/>
    <n v="16"/>
  </r>
  <r>
    <n v="394"/>
    <d v="2011-01-17T00:00:00"/>
    <n v="1"/>
    <n v="2011"/>
    <n v="1"/>
    <n v="21"/>
    <s v="Evening"/>
    <b v="1"/>
    <s v="Holiday"/>
    <n v="1"/>
    <x v="2"/>
    <n v="3"/>
    <x v="2"/>
    <n v="0.16"/>
    <n v="16"/>
  </r>
  <r>
    <n v="395"/>
    <d v="2011-01-17T00:00:00"/>
    <n v="1"/>
    <n v="2011"/>
    <n v="1"/>
    <n v="22"/>
    <s v="Evening"/>
    <b v="1"/>
    <s v="Holiday"/>
    <n v="1"/>
    <x v="2"/>
    <n v="3"/>
    <x v="2"/>
    <n v="0.14000000000000001"/>
    <n v="14.000000000000002"/>
  </r>
  <r>
    <n v="396"/>
    <d v="2011-01-17T00:00:00"/>
    <n v="1"/>
    <n v="2011"/>
    <n v="1"/>
    <n v="23"/>
    <s v="Evening"/>
    <b v="1"/>
    <s v="Holiday"/>
    <n v="1"/>
    <x v="2"/>
    <n v="3"/>
    <x v="2"/>
    <n v="0.16"/>
    <n v="16"/>
  </r>
  <r>
    <n v="397"/>
    <d v="2011-01-18T00:00:00"/>
    <n v="1"/>
    <n v="2011"/>
    <n v="1"/>
    <n v="12"/>
    <s v="Afternoon"/>
    <b v="0"/>
    <s v="Working day"/>
    <n v="2"/>
    <x v="3"/>
    <n v="2"/>
    <x v="1"/>
    <n v="0.2"/>
    <n v="20"/>
  </r>
  <r>
    <n v="398"/>
    <d v="2011-01-18T00:00:00"/>
    <n v="1"/>
    <n v="2011"/>
    <n v="1"/>
    <n v="13"/>
    <s v="Afternoon"/>
    <b v="0"/>
    <s v="Working day"/>
    <n v="2"/>
    <x v="3"/>
    <n v="2"/>
    <x v="1"/>
    <n v="0.2"/>
    <n v="20"/>
  </r>
  <r>
    <n v="399"/>
    <d v="2011-01-18T00:00:00"/>
    <n v="1"/>
    <n v="2011"/>
    <n v="1"/>
    <n v="14"/>
    <s v="Afternoon"/>
    <b v="0"/>
    <s v="Working day"/>
    <n v="2"/>
    <x v="3"/>
    <n v="2"/>
    <x v="1"/>
    <n v="0.22"/>
    <n v="22"/>
  </r>
  <r>
    <n v="400"/>
    <d v="2011-01-18T00:00:00"/>
    <n v="1"/>
    <n v="2011"/>
    <n v="1"/>
    <n v="15"/>
    <s v="Afternoon"/>
    <b v="0"/>
    <s v="Working day"/>
    <n v="2"/>
    <x v="3"/>
    <n v="2"/>
    <x v="1"/>
    <n v="0.22"/>
    <n v="22"/>
  </r>
  <r>
    <n v="401"/>
    <d v="2011-01-18T00:00:00"/>
    <n v="1"/>
    <n v="2011"/>
    <n v="1"/>
    <n v="16"/>
    <s v="Afternoon"/>
    <b v="0"/>
    <s v="Working day"/>
    <n v="2"/>
    <x v="3"/>
    <n v="2"/>
    <x v="1"/>
    <n v="0.22"/>
    <n v="22"/>
  </r>
  <r>
    <n v="402"/>
    <d v="2011-01-18T00:00:00"/>
    <n v="1"/>
    <n v="2011"/>
    <n v="1"/>
    <n v="17"/>
    <s v="Afternoon"/>
    <b v="0"/>
    <s v="Working day"/>
    <n v="2"/>
    <x v="3"/>
    <n v="2"/>
    <x v="1"/>
    <n v="0.22"/>
    <n v="22"/>
  </r>
  <r>
    <n v="403"/>
    <d v="2011-01-18T00:00:00"/>
    <n v="1"/>
    <n v="2011"/>
    <n v="1"/>
    <n v="18"/>
    <s v="Evening"/>
    <b v="0"/>
    <s v="Working day"/>
    <n v="2"/>
    <x v="3"/>
    <n v="2"/>
    <x v="1"/>
    <n v="0.22"/>
    <n v="22"/>
  </r>
  <r>
    <n v="404"/>
    <d v="2011-01-18T00:00:00"/>
    <n v="1"/>
    <n v="2011"/>
    <n v="1"/>
    <n v="19"/>
    <s v="Evening"/>
    <b v="0"/>
    <s v="Working day"/>
    <n v="2"/>
    <x v="3"/>
    <n v="2"/>
    <x v="1"/>
    <n v="0.22"/>
    <n v="22"/>
  </r>
  <r>
    <n v="405"/>
    <d v="2011-01-18T00:00:00"/>
    <n v="1"/>
    <n v="2011"/>
    <n v="1"/>
    <n v="20"/>
    <s v="Evening"/>
    <b v="0"/>
    <s v="Working day"/>
    <n v="2"/>
    <x v="3"/>
    <n v="2"/>
    <x v="1"/>
    <n v="0.22"/>
    <n v="22"/>
  </r>
  <r>
    <n v="406"/>
    <d v="2011-01-18T00:00:00"/>
    <n v="1"/>
    <n v="2011"/>
    <n v="1"/>
    <n v="21"/>
    <s v="Evening"/>
    <b v="0"/>
    <s v="Working day"/>
    <n v="2"/>
    <x v="3"/>
    <n v="2"/>
    <x v="1"/>
    <n v="0.22"/>
    <n v="22"/>
  </r>
  <r>
    <n v="407"/>
    <d v="2011-01-18T00:00:00"/>
    <n v="1"/>
    <n v="2011"/>
    <n v="1"/>
    <n v="22"/>
    <s v="Evening"/>
    <b v="0"/>
    <s v="Working day"/>
    <n v="2"/>
    <x v="3"/>
    <n v="2"/>
    <x v="1"/>
    <n v="0.22"/>
    <n v="22"/>
  </r>
  <r>
    <n v="408"/>
    <d v="2011-01-18T00:00:00"/>
    <n v="1"/>
    <n v="2011"/>
    <n v="1"/>
    <n v="23"/>
    <s v="Evening"/>
    <b v="0"/>
    <s v="Working day"/>
    <n v="2"/>
    <x v="3"/>
    <n v="2"/>
    <x v="1"/>
    <n v="0.22"/>
    <n v="22"/>
  </r>
  <r>
    <n v="409"/>
    <d v="2011-01-19T00:00:00"/>
    <n v="1"/>
    <n v="2011"/>
    <n v="1"/>
    <n v="0"/>
    <s v="Night"/>
    <b v="0"/>
    <s v="Working day"/>
    <n v="3"/>
    <x v="4"/>
    <n v="2"/>
    <x v="1"/>
    <n v="0.22"/>
    <n v="22"/>
  </r>
  <r>
    <n v="410"/>
    <d v="2011-01-19T00:00:00"/>
    <n v="1"/>
    <n v="2011"/>
    <n v="1"/>
    <n v="1"/>
    <s v="Night"/>
    <b v="0"/>
    <s v="Working day"/>
    <n v="3"/>
    <x v="4"/>
    <n v="3"/>
    <x v="2"/>
    <n v="0.22"/>
    <n v="22"/>
  </r>
  <r>
    <n v="411"/>
    <d v="2011-01-19T00:00:00"/>
    <n v="1"/>
    <n v="2011"/>
    <n v="1"/>
    <n v="2"/>
    <s v="Night"/>
    <b v="0"/>
    <s v="Working day"/>
    <n v="3"/>
    <x v="4"/>
    <n v="3"/>
    <x v="2"/>
    <n v="0.22"/>
    <n v="22"/>
  </r>
  <r>
    <n v="412"/>
    <d v="2011-01-19T00:00:00"/>
    <n v="1"/>
    <n v="2011"/>
    <n v="1"/>
    <n v="4"/>
    <s v="Night"/>
    <b v="0"/>
    <s v="Working day"/>
    <n v="3"/>
    <x v="4"/>
    <n v="3"/>
    <x v="2"/>
    <n v="0.22"/>
    <n v="22"/>
  </r>
  <r>
    <n v="413"/>
    <d v="2011-01-19T00:00:00"/>
    <n v="1"/>
    <n v="2011"/>
    <n v="1"/>
    <n v="5"/>
    <s v="Night"/>
    <b v="0"/>
    <s v="Working day"/>
    <n v="3"/>
    <x v="4"/>
    <n v="2"/>
    <x v="1"/>
    <n v="0.22"/>
    <n v="22"/>
  </r>
  <r>
    <n v="414"/>
    <d v="2011-01-19T00:00:00"/>
    <n v="1"/>
    <n v="2011"/>
    <n v="1"/>
    <n v="6"/>
    <s v="Morning"/>
    <b v="0"/>
    <s v="Working day"/>
    <n v="3"/>
    <x v="4"/>
    <n v="2"/>
    <x v="1"/>
    <n v="0.22"/>
    <n v="22"/>
  </r>
  <r>
    <n v="415"/>
    <d v="2011-01-19T00:00:00"/>
    <n v="1"/>
    <n v="2011"/>
    <n v="1"/>
    <n v="7"/>
    <s v="Morning"/>
    <b v="0"/>
    <s v="Working day"/>
    <n v="3"/>
    <x v="4"/>
    <n v="2"/>
    <x v="1"/>
    <n v="0.24"/>
    <n v="24"/>
  </r>
  <r>
    <n v="416"/>
    <d v="2011-01-19T00:00:00"/>
    <n v="1"/>
    <n v="2011"/>
    <n v="1"/>
    <n v="8"/>
    <s v="Morning"/>
    <b v="0"/>
    <s v="Working day"/>
    <n v="3"/>
    <x v="4"/>
    <n v="2"/>
    <x v="1"/>
    <n v="0.24"/>
    <n v="24"/>
  </r>
  <r>
    <n v="417"/>
    <d v="2011-01-19T00:00:00"/>
    <n v="1"/>
    <n v="2011"/>
    <n v="1"/>
    <n v="9"/>
    <s v="Morning"/>
    <b v="0"/>
    <s v="Working day"/>
    <n v="3"/>
    <x v="4"/>
    <n v="2"/>
    <x v="1"/>
    <n v="0.24"/>
    <n v="24"/>
  </r>
  <r>
    <n v="418"/>
    <d v="2011-01-19T00:00:00"/>
    <n v="1"/>
    <n v="2011"/>
    <n v="1"/>
    <n v="10"/>
    <s v="Morning"/>
    <b v="0"/>
    <s v="Working day"/>
    <n v="3"/>
    <x v="4"/>
    <n v="2"/>
    <x v="1"/>
    <n v="0.26"/>
    <n v="26"/>
  </r>
  <r>
    <n v="419"/>
    <d v="2011-01-19T00:00:00"/>
    <n v="1"/>
    <n v="2011"/>
    <n v="1"/>
    <n v="11"/>
    <s v="Morning"/>
    <b v="0"/>
    <s v="Working day"/>
    <n v="3"/>
    <x v="4"/>
    <n v="2"/>
    <x v="1"/>
    <n v="0.28000000000000003"/>
    <n v="28.000000000000004"/>
  </r>
  <r>
    <n v="420"/>
    <d v="2011-01-19T00:00:00"/>
    <n v="1"/>
    <n v="2011"/>
    <n v="1"/>
    <n v="12"/>
    <s v="Afternoon"/>
    <b v="0"/>
    <s v="Working day"/>
    <n v="3"/>
    <x v="4"/>
    <n v="2"/>
    <x v="1"/>
    <n v="0.3"/>
    <n v="30"/>
  </r>
  <r>
    <n v="421"/>
    <d v="2011-01-19T00:00:00"/>
    <n v="1"/>
    <n v="2011"/>
    <n v="1"/>
    <n v="13"/>
    <s v="Afternoon"/>
    <b v="0"/>
    <s v="Working day"/>
    <n v="3"/>
    <x v="4"/>
    <n v="1"/>
    <x v="0"/>
    <n v="0.4"/>
    <n v="40"/>
  </r>
  <r>
    <n v="422"/>
    <d v="2011-01-19T00:00:00"/>
    <n v="1"/>
    <n v="2011"/>
    <n v="1"/>
    <n v="14"/>
    <s v="Afternoon"/>
    <b v="0"/>
    <s v="Working day"/>
    <n v="3"/>
    <x v="4"/>
    <n v="1"/>
    <x v="0"/>
    <n v="0.4"/>
    <n v="40"/>
  </r>
  <r>
    <n v="423"/>
    <d v="2011-01-19T00:00:00"/>
    <n v="1"/>
    <n v="2011"/>
    <n v="1"/>
    <n v="15"/>
    <s v="Afternoon"/>
    <b v="0"/>
    <s v="Working day"/>
    <n v="3"/>
    <x v="4"/>
    <n v="1"/>
    <x v="0"/>
    <n v="0.4"/>
    <n v="40"/>
  </r>
  <r>
    <n v="424"/>
    <d v="2011-01-19T00:00:00"/>
    <n v="1"/>
    <n v="2011"/>
    <n v="1"/>
    <n v="16"/>
    <s v="Afternoon"/>
    <b v="0"/>
    <s v="Working day"/>
    <n v="3"/>
    <x v="4"/>
    <n v="1"/>
    <x v="0"/>
    <n v="0.38"/>
    <n v="38"/>
  </r>
  <r>
    <n v="425"/>
    <d v="2011-01-19T00:00:00"/>
    <n v="1"/>
    <n v="2011"/>
    <n v="1"/>
    <n v="17"/>
    <s v="Afternoon"/>
    <b v="0"/>
    <s v="Working day"/>
    <n v="3"/>
    <x v="4"/>
    <n v="1"/>
    <x v="0"/>
    <n v="0.36"/>
    <n v="36"/>
  </r>
  <r>
    <n v="426"/>
    <d v="2011-01-19T00:00:00"/>
    <n v="1"/>
    <n v="2011"/>
    <n v="1"/>
    <n v="18"/>
    <s v="Evening"/>
    <b v="0"/>
    <s v="Working day"/>
    <n v="3"/>
    <x v="4"/>
    <n v="1"/>
    <x v="0"/>
    <n v="0.34"/>
    <n v="34"/>
  </r>
  <r>
    <n v="427"/>
    <d v="2011-01-19T00:00:00"/>
    <n v="1"/>
    <n v="2011"/>
    <n v="1"/>
    <n v="19"/>
    <s v="Evening"/>
    <b v="0"/>
    <s v="Working day"/>
    <n v="3"/>
    <x v="4"/>
    <n v="1"/>
    <x v="0"/>
    <n v="0.32"/>
    <n v="32"/>
  </r>
  <r>
    <n v="428"/>
    <d v="2011-01-19T00:00:00"/>
    <n v="1"/>
    <n v="2011"/>
    <n v="1"/>
    <n v="20"/>
    <s v="Evening"/>
    <b v="0"/>
    <s v="Working day"/>
    <n v="3"/>
    <x v="4"/>
    <n v="1"/>
    <x v="0"/>
    <n v="0.32"/>
    <n v="32"/>
  </r>
  <r>
    <n v="429"/>
    <d v="2011-01-19T00:00:00"/>
    <n v="1"/>
    <n v="2011"/>
    <n v="1"/>
    <n v="21"/>
    <s v="Evening"/>
    <b v="0"/>
    <s v="Working day"/>
    <n v="3"/>
    <x v="4"/>
    <n v="1"/>
    <x v="0"/>
    <n v="0.32"/>
    <n v="32"/>
  </r>
  <r>
    <n v="430"/>
    <d v="2011-01-19T00:00:00"/>
    <n v="1"/>
    <n v="2011"/>
    <n v="1"/>
    <n v="22"/>
    <s v="Evening"/>
    <b v="0"/>
    <s v="Working day"/>
    <n v="3"/>
    <x v="4"/>
    <n v="1"/>
    <x v="0"/>
    <n v="0.3"/>
    <n v="30"/>
  </r>
  <r>
    <n v="431"/>
    <d v="2011-01-19T00:00:00"/>
    <n v="1"/>
    <n v="2011"/>
    <n v="1"/>
    <n v="23"/>
    <s v="Evening"/>
    <b v="0"/>
    <s v="Working day"/>
    <n v="3"/>
    <x v="4"/>
    <n v="1"/>
    <x v="0"/>
    <n v="0.3"/>
    <n v="30"/>
  </r>
  <r>
    <n v="432"/>
    <d v="2011-01-20T00:00:00"/>
    <n v="1"/>
    <n v="2011"/>
    <n v="1"/>
    <n v="0"/>
    <s v="Night"/>
    <b v="0"/>
    <s v="Working day"/>
    <n v="4"/>
    <x v="5"/>
    <n v="1"/>
    <x v="0"/>
    <n v="0.26"/>
    <n v="26"/>
  </r>
  <r>
    <n v="433"/>
    <d v="2011-01-20T00:00:00"/>
    <n v="1"/>
    <n v="2011"/>
    <n v="1"/>
    <n v="1"/>
    <s v="Night"/>
    <b v="0"/>
    <s v="Working day"/>
    <n v="4"/>
    <x v="5"/>
    <n v="1"/>
    <x v="0"/>
    <n v="0.26"/>
    <n v="26"/>
  </r>
  <r>
    <n v="434"/>
    <d v="2011-01-20T00:00:00"/>
    <n v="1"/>
    <n v="2011"/>
    <n v="1"/>
    <n v="2"/>
    <s v="Night"/>
    <b v="0"/>
    <s v="Working day"/>
    <n v="4"/>
    <x v="5"/>
    <n v="1"/>
    <x v="0"/>
    <n v="0.26"/>
    <n v="26"/>
  </r>
  <r>
    <n v="435"/>
    <d v="2011-01-20T00:00:00"/>
    <n v="1"/>
    <n v="2011"/>
    <n v="1"/>
    <n v="3"/>
    <s v="Night"/>
    <b v="0"/>
    <s v="Working day"/>
    <n v="4"/>
    <x v="5"/>
    <n v="1"/>
    <x v="0"/>
    <n v="0.26"/>
    <n v="26"/>
  </r>
  <r>
    <n v="436"/>
    <d v="2011-01-20T00:00:00"/>
    <n v="1"/>
    <n v="2011"/>
    <n v="1"/>
    <n v="4"/>
    <s v="Night"/>
    <b v="0"/>
    <s v="Working day"/>
    <n v="4"/>
    <x v="5"/>
    <n v="1"/>
    <x v="0"/>
    <n v="0.26"/>
    <n v="26"/>
  </r>
  <r>
    <n v="437"/>
    <d v="2011-01-20T00:00:00"/>
    <n v="1"/>
    <n v="2011"/>
    <n v="1"/>
    <n v="5"/>
    <s v="Night"/>
    <b v="0"/>
    <s v="Working day"/>
    <n v="4"/>
    <x v="5"/>
    <n v="1"/>
    <x v="0"/>
    <n v="0.24"/>
    <n v="24"/>
  </r>
  <r>
    <n v="438"/>
    <d v="2011-01-20T00:00:00"/>
    <n v="1"/>
    <n v="2011"/>
    <n v="1"/>
    <n v="6"/>
    <s v="Morning"/>
    <b v="0"/>
    <s v="Working day"/>
    <n v="4"/>
    <x v="5"/>
    <n v="1"/>
    <x v="0"/>
    <n v="0.22"/>
    <n v="22"/>
  </r>
  <r>
    <n v="439"/>
    <d v="2011-01-20T00:00:00"/>
    <n v="1"/>
    <n v="2011"/>
    <n v="1"/>
    <n v="7"/>
    <s v="Morning"/>
    <b v="0"/>
    <s v="Working day"/>
    <n v="4"/>
    <x v="5"/>
    <n v="1"/>
    <x v="0"/>
    <n v="0.22"/>
    <n v="22"/>
  </r>
  <r>
    <n v="440"/>
    <d v="2011-01-20T00:00:00"/>
    <n v="1"/>
    <n v="2011"/>
    <n v="1"/>
    <n v="8"/>
    <s v="Morning"/>
    <b v="0"/>
    <s v="Working day"/>
    <n v="4"/>
    <x v="5"/>
    <n v="1"/>
    <x v="0"/>
    <n v="0.22"/>
    <n v="22"/>
  </r>
  <r>
    <n v="441"/>
    <d v="2011-01-20T00:00:00"/>
    <n v="1"/>
    <n v="2011"/>
    <n v="1"/>
    <n v="9"/>
    <s v="Morning"/>
    <b v="0"/>
    <s v="Working day"/>
    <n v="4"/>
    <x v="5"/>
    <n v="2"/>
    <x v="1"/>
    <n v="0.24"/>
    <n v="24"/>
  </r>
  <r>
    <n v="442"/>
    <d v="2011-01-20T00:00:00"/>
    <n v="1"/>
    <n v="2011"/>
    <n v="1"/>
    <n v="10"/>
    <s v="Morning"/>
    <b v="0"/>
    <s v="Working day"/>
    <n v="4"/>
    <x v="5"/>
    <n v="1"/>
    <x v="0"/>
    <n v="0.26"/>
    <n v="26"/>
  </r>
  <r>
    <n v="443"/>
    <d v="2011-01-20T00:00:00"/>
    <n v="1"/>
    <n v="2011"/>
    <n v="1"/>
    <n v="11"/>
    <s v="Morning"/>
    <b v="0"/>
    <s v="Working day"/>
    <n v="4"/>
    <x v="5"/>
    <n v="2"/>
    <x v="1"/>
    <n v="0.28000000000000003"/>
    <n v="28.000000000000004"/>
  </r>
  <r>
    <n v="444"/>
    <d v="2011-01-20T00:00:00"/>
    <n v="1"/>
    <n v="2011"/>
    <n v="1"/>
    <n v="12"/>
    <s v="Afternoon"/>
    <b v="0"/>
    <s v="Working day"/>
    <n v="4"/>
    <x v="5"/>
    <n v="2"/>
    <x v="1"/>
    <n v="0.3"/>
    <n v="30"/>
  </r>
  <r>
    <n v="445"/>
    <d v="2011-01-20T00:00:00"/>
    <n v="1"/>
    <n v="2011"/>
    <n v="1"/>
    <n v="13"/>
    <s v="Afternoon"/>
    <b v="0"/>
    <s v="Working day"/>
    <n v="4"/>
    <x v="5"/>
    <n v="2"/>
    <x v="1"/>
    <n v="0.28000000000000003"/>
    <n v="28.000000000000004"/>
  </r>
  <r>
    <n v="446"/>
    <d v="2011-01-20T00:00:00"/>
    <n v="1"/>
    <n v="2011"/>
    <n v="1"/>
    <n v="14"/>
    <s v="Afternoon"/>
    <b v="0"/>
    <s v="Working day"/>
    <n v="4"/>
    <x v="5"/>
    <n v="2"/>
    <x v="1"/>
    <n v="0.3"/>
    <n v="30"/>
  </r>
  <r>
    <n v="447"/>
    <d v="2011-01-20T00:00:00"/>
    <n v="1"/>
    <n v="2011"/>
    <n v="1"/>
    <n v="15"/>
    <s v="Afternoon"/>
    <b v="0"/>
    <s v="Working day"/>
    <n v="4"/>
    <x v="5"/>
    <n v="2"/>
    <x v="1"/>
    <n v="0.32"/>
    <n v="32"/>
  </r>
  <r>
    <n v="448"/>
    <d v="2011-01-20T00:00:00"/>
    <n v="1"/>
    <n v="2011"/>
    <n v="1"/>
    <n v="16"/>
    <s v="Afternoon"/>
    <b v="0"/>
    <s v="Working day"/>
    <n v="4"/>
    <x v="5"/>
    <n v="2"/>
    <x v="1"/>
    <n v="0.3"/>
    <n v="30"/>
  </r>
  <r>
    <n v="449"/>
    <d v="2011-01-20T00:00:00"/>
    <n v="1"/>
    <n v="2011"/>
    <n v="1"/>
    <n v="17"/>
    <s v="Afternoon"/>
    <b v="0"/>
    <s v="Working day"/>
    <n v="4"/>
    <x v="5"/>
    <n v="2"/>
    <x v="1"/>
    <n v="0.3"/>
    <n v="30"/>
  </r>
  <r>
    <n v="450"/>
    <d v="2011-01-20T00:00:00"/>
    <n v="1"/>
    <n v="2011"/>
    <n v="1"/>
    <n v="18"/>
    <s v="Evening"/>
    <b v="0"/>
    <s v="Working day"/>
    <n v="4"/>
    <x v="5"/>
    <n v="2"/>
    <x v="1"/>
    <n v="0.26"/>
    <n v="26"/>
  </r>
  <r>
    <n v="451"/>
    <d v="2011-01-20T00:00:00"/>
    <n v="1"/>
    <n v="2011"/>
    <n v="1"/>
    <n v="19"/>
    <s v="Evening"/>
    <b v="0"/>
    <s v="Working day"/>
    <n v="4"/>
    <x v="5"/>
    <n v="1"/>
    <x v="0"/>
    <n v="0.26"/>
    <n v="26"/>
  </r>
  <r>
    <n v="452"/>
    <d v="2011-01-20T00:00:00"/>
    <n v="1"/>
    <n v="2011"/>
    <n v="1"/>
    <n v="20"/>
    <s v="Evening"/>
    <b v="0"/>
    <s v="Working day"/>
    <n v="4"/>
    <x v="5"/>
    <n v="2"/>
    <x v="1"/>
    <n v="0.26"/>
    <n v="26"/>
  </r>
  <r>
    <n v="453"/>
    <d v="2011-01-20T00:00:00"/>
    <n v="1"/>
    <n v="2011"/>
    <n v="1"/>
    <n v="21"/>
    <s v="Evening"/>
    <b v="0"/>
    <s v="Working day"/>
    <n v="4"/>
    <x v="5"/>
    <n v="2"/>
    <x v="1"/>
    <n v="0.24"/>
    <n v="24"/>
  </r>
  <r>
    <n v="454"/>
    <d v="2011-01-20T00:00:00"/>
    <n v="1"/>
    <n v="2011"/>
    <n v="1"/>
    <n v="22"/>
    <s v="Evening"/>
    <b v="0"/>
    <s v="Working day"/>
    <n v="4"/>
    <x v="5"/>
    <n v="2"/>
    <x v="1"/>
    <n v="0.24"/>
    <n v="24"/>
  </r>
  <r>
    <n v="455"/>
    <d v="2011-01-20T00:00:00"/>
    <n v="1"/>
    <n v="2011"/>
    <n v="1"/>
    <n v="23"/>
    <s v="Evening"/>
    <b v="0"/>
    <s v="Working day"/>
    <n v="4"/>
    <x v="5"/>
    <n v="2"/>
    <x v="1"/>
    <n v="0.24"/>
    <n v="24"/>
  </r>
  <r>
    <n v="456"/>
    <d v="2011-01-21T00:00:00"/>
    <n v="1"/>
    <n v="2011"/>
    <n v="1"/>
    <n v="0"/>
    <s v="Night"/>
    <b v="0"/>
    <s v="Working day"/>
    <n v="5"/>
    <x v="6"/>
    <n v="2"/>
    <x v="1"/>
    <n v="0.24"/>
    <n v="24"/>
  </r>
  <r>
    <n v="457"/>
    <d v="2011-01-21T00:00:00"/>
    <n v="1"/>
    <n v="2011"/>
    <n v="1"/>
    <n v="1"/>
    <s v="Night"/>
    <b v="0"/>
    <s v="Working day"/>
    <n v="5"/>
    <x v="6"/>
    <n v="2"/>
    <x v="1"/>
    <n v="0.24"/>
    <n v="24"/>
  </r>
  <r>
    <n v="458"/>
    <d v="2011-01-21T00:00:00"/>
    <n v="1"/>
    <n v="2011"/>
    <n v="1"/>
    <n v="2"/>
    <s v="Night"/>
    <b v="0"/>
    <s v="Working day"/>
    <n v="5"/>
    <x v="6"/>
    <n v="3"/>
    <x v="2"/>
    <n v="0.24"/>
    <n v="24"/>
  </r>
  <r>
    <n v="459"/>
    <d v="2011-01-21T00:00:00"/>
    <n v="1"/>
    <n v="2011"/>
    <n v="1"/>
    <n v="3"/>
    <s v="Night"/>
    <b v="0"/>
    <s v="Working day"/>
    <n v="5"/>
    <x v="6"/>
    <n v="3"/>
    <x v="2"/>
    <n v="0.22"/>
    <n v="22"/>
  </r>
  <r>
    <n v="460"/>
    <d v="2011-01-21T00:00:00"/>
    <n v="1"/>
    <n v="2011"/>
    <n v="1"/>
    <n v="4"/>
    <s v="Night"/>
    <b v="0"/>
    <s v="Working day"/>
    <n v="5"/>
    <x v="6"/>
    <n v="2"/>
    <x v="1"/>
    <n v="0.22"/>
    <n v="22"/>
  </r>
  <r>
    <n v="461"/>
    <d v="2011-01-21T00:00:00"/>
    <n v="1"/>
    <n v="2011"/>
    <n v="1"/>
    <n v="5"/>
    <s v="Night"/>
    <b v="0"/>
    <s v="Working day"/>
    <n v="5"/>
    <x v="6"/>
    <n v="1"/>
    <x v="0"/>
    <n v="0.24"/>
    <n v="24"/>
  </r>
  <r>
    <n v="462"/>
    <d v="2011-01-21T00:00:00"/>
    <n v="1"/>
    <n v="2011"/>
    <n v="1"/>
    <n v="6"/>
    <s v="Morning"/>
    <b v="0"/>
    <s v="Working day"/>
    <n v="5"/>
    <x v="6"/>
    <n v="1"/>
    <x v="0"/>
    <n v="0.22"/>
    <n v="22"/>
  </r>
  <r>
    <n v="463"/>
    <d v="2011-01-21T00:00:00"/>
    <n v="1"/>
    <n v="2011"/>
    <n v="1"/>
    <n v="7"/>
    <s v="Morning"/>
    <b v="0"/>
    <s v="Working day"/>
    <n v="5"/>
    <x v="6"/>
    <n v="1"/>
    <x v="0"/>
    <n v="0.2"/>
    <n v="20"/>
  </r>
  <r>
    <n v="464"/>
    <d v="2011-01-21T00:00:00"/>
    <n v="1"/>
    <n v="2011"/>
    <n v="1"/>
    <n v="8"/>
    <s v="Morning"/>
    <b v="0"/>
    <s v="Working day"/>
    <n v="5"/>
    <x v="6"/>
    <n v="1"/>
    <x v="0"/>
    <n v="0.2"/>
    <n v="20"/>
  </r>
  <r>
    <n v="465"/>
    <d v="2011-01-21T00:00:00"/>
    <n v="1"/>
    <n v="2011"/>
    <n v="1"/>
    <n v="9"/>
    <s v="Morning"/>
    <b v="0"/>
    <s v="Working day"/>
    <n v="5"/>
    <x v="6"/>
    <n v="1"/>
    <x v="0"/>
    <n v="0.2"/>
    <n v="20"/>
  </r>
  <r>
    <n v="466"/>
    <d v="2011-01-21T00:00:00"/>
    <n v="1"/>
    <n v="2011"/>
    <n v="1"/>
    <n v="10"/>
    <s v="Morning"/>
    <b v="0"/>
    <s v="Working day"/>
    <n v="5"/>
    <x v="6"/>
    <n v="1"/>
    <x v="0"/>
    <n v="0.2"/>
    <n v="20"/>
  </r>
  <r>
    <n v="467"/>
    <d v="2011-01-21T00:00:00"/>
    <n v="1"/>
    <n v="2011"/>
    <n v="1"/>
    <n v="11"/>
    <s v="Morning"/>
    <b v="0"/>
    <s v="Working day"/>
    <n v="5"/>
    <x v="6"/>
    <n v="1"/>
    <x v="0"/>
    <n v="0.22"/>
    <n v="22"/>
  </r>
  <r>
    <n v="468"/>
    <d v="2011-01-21T00:00:00"/>
    <n v="1"/>
    <n v="2011"/>
    <n v="1"/>
    <n v="12"/>
    <s v="Afternoon"/>
    <b v="0"/>
    <s v="Working day"/>
    <n v="5"/>
    <x v="6"/>
    <n v="1"/>
    <x v="0"/>
    <n v="0.22"/>
    <n v="22"/>
  </r>
  <r>
    <n v="469"/>
    <d v="2011-01-21T00:00:00"/>
    <n v="1"/>
    <n v="2011"/>
    <n v="1"/>
    <n v="13"/>
    <s v="Afternoon"/>
    <b v="0"/>
    <s v="Working day"/>
    <n v="5"/>
    <x v="6"/>
    <n v="1"/>
    <x v="0"/>
    <n v="0.2"/>
    <n v="20"/>
  </r>
  <r>
    <n v="470"/>
    <d v="2011-01-21T00:00:00"/>
    <n v="1"/>
    <n v="2011"/>
    <n v="1"/>
    <n v="14"/>
    <s v="Afternoon"/>
    <b v="0"/>
    <s v="Working day"/>
    <n v="5"/>
    <x v="6"/>
    <n v="1"/>
    <x v="0"/>
    <n v="0.2"/>
    <n v="20"/>
  </r>
  <r>
    <n v="471"/>
    <d v="2011-01-21T00:00:00"/>
    <n v="1"/>
    <n v="2011"/>
    <n v="1"/>
    <n v="15"/>
    <s v="Afternoon"/>
    <b v="0"/>
    <s v="Working day"/>
    <n v="5"/>
    <x v="6"/>
    <n v="1"/>
    <x v="0"/>
    <n v="0.16"/>
    <n v="16"/>
  </r>
  <r>
    <n v="472"/>
    <d v="2011-01-21T00:00:00"/>
    <n v="1"/>
    <n v="2011"/>
    <n v="1"/>
    <n v="16"/>
    <s v="Afternoon"/>
    <b v="0"/>
    <s v="Working day"/>
    <n v="5"/>
    <x v="6"/>
    <n v="1"/>
    <x v="0"/>
    <n v="0.16"/>
    <n v="16"/>
  </r>
  <r>
    <n v="473"/>
    <d v="2011-01-21T00:00:00"/>
    <n v="1"/>
    <n v="2011"/>
    <n v="1"/>
    <n v="17"/>
    <s v="Afternoon"/>
    <b v="0"/>
    <s v="Working day"/>
    <n v="5"/>
    <x v="6"/>
    <n v="1"/>
    <x v="0"/>
    <n v="0.14000000000000001"/>
    <n v="14.000000000000002"/>
  </r>
  <r>
    <n v="474"/>
    <d v="2011-01-21T00:00:00"/>
    <n v="1"/>
    <n v="2011"/>
    <n v="1"/>
    <n v="18"/>
    <s v="Evening"/>
    <b v="0"/>
    <s v="Working day"/>
    <n v="5"/>
    <x v="6"/>
    <n v="1"/>
    <x v="0"/>
    <n v="0.12"/>
    <n v="12"/>
  </r>
  <r>
    <n v="475"/>
    <d v="2011-01-21T00:00:00"/>
    <n v="1"/>
    <n v="2011"/>
    <n v="1"/>
    <n v="19"/>
    <s v="Evening"/>
    <b v="0"/>
    <s v="Working day"/>
    <n v="5"/>
    <x v="6"/>
    <n v="1"/>
    <x v="0"/>
    <n v="0.12"/>
    <n v="12"/>
  </r>
  <r>
    <n v="476"/>
    <d v="2011-01-21T00:00:00"/>
    <n v="1"/>
    <n v="2011"/>
    <n v="1"/>
    <n v="20"/>
    <s v="Evening"/>
    <b v="0"/>
    <s v="Working day"/>
    <n v="5"/>
    <x v="6"/>
    <n v="1"/>
    <x v="0"/>
    <n v="0.1"/>
    <n v="10"/>
  </r>
  <r>
    <n v="477"/>
    <d v="2011-01-21T00:00:00"/>
    <n v="1"/>
    <n v="2011"/>
    <n v="1"/>
    <n v="21"/>
    <s v="Evening"/>
    <b v="0"/>
    <s v="Working day"/>
    <n v="5"/>
    <x v="6"/>
    <n v="1"/>
    <x v="0"/>
    <n v="0.08"/>
    <n v="8"/>
  </r>
  <r>
    <n v="478"/>
    <d v="2011-01-21T00:00:00"/>
    <n v="1"/>
    <n v="2011"/>
    <n v="1"/>
    <n v="22"/>
    <s v="Evening"/>
    <b v="0"/>
    <s v="Working day"/>
    <n v="5"/>
    <x v="6"/>
    <n v="1"/>
    <x v="0"/>
    <n v="0.06"/>
    <n v="6"/>
  </r>
  <r>
    <n v="479"/>
    <d v="2011-01-21T00:00:00"/>
    <n v="1"/>
    <n v="2011"/>
    <n v="1"/>
    <n v="23"/>
    <s v="Evening"/>
    <b v="0"/>
    <s v="Working day"/>
    <n v="5"/>
    <x v="6"/>
    <n v="1"/>
    <x v="0"/>
    <n v="0.06"/>
    <n v="6"/>
  </r>
  <r>
    <n v="480"/>
    <d v="2011-01-22T00:00:00"/>
    <n v="1"/>
    <n v="2011"/>
    <n v="1"/>
    <n v="0"/>
    <s v="Night"/>
    <b v="0"/>
    <s v="Working day"/>
    <n v="6"/>
    <x v="0"/>
    <n v="1"/>
    <x v="0"/>
    <n v="0.04"/>
    <n v="4"/>
  </r>
  <r>
    <n v="481"/>
    <d v="2011-01-22T00:00:00"/>
    <n v="1"/>
    <n v="2011"/>
    <n v="1"/>
    <n v="1"/>
    <s v="Night"/>
    <b v="0"/>
    <s v="Working day"/>
    <n v="6"/>
    <x v="0"/>
    <n v="2"/>
    <x v="1"/>
    <n v="0.04"/>
    <n v="4"/>
  </r>
  <r>
    <n v="482"/>
    <d v="2011-01-22T00:00:00"/>
    <n v="1"/>
    <n v="2011"/>
    <n v="1"/>
    <n v="2"/>
    <s v="Night"/>
    <b v="0"/>
    <s v="Working day"/>
    <n v="6"/>
    <x v="0"/>
    <n v="2"/>
    <x v="1"/>
    <n v="0.04"/>
    <n v="4"/>
  </r>
  <r>
    <n v="483"/>
    <d v="2011-01-22T00:00:00"/>
    <n v="1"/>
    <n v="2011"/>
    <n v="1"/>
    <n v="3"/>
    <s v="Night"/>
    <b v="0"/>
    <s v="Working day"/>
    <n v="6"/>
    <x v="0"/>
    <n v="2"/>
    <x v="1"/>
    <n v="0.04"/>
    <n v="4"/>
  </r>
  <r>
    <n v="484"/>
    <d v="2011-01-22T00:00:00"/>
    <n v="1"/>
    <n v="2011"/>
    <n v="1"/>
    <n v="4"/>
    <s v="Night"/>
    <b v="0"/>
    <s v="Working day"/>
    <n v="6"/>
    <x v="0"/>
    <n v="2"/>
    <x v="1"/>
    <n v="0.02"/>
    <n v="2"/>
  </r>
  <r>
    <n v="485"/>
    <d v="2011-01-22T00:00:00"/>
    <n v="1"/>
    <n v="2011"/>
    <n v="1"/>
    <n v="6"/>
    <s v="Morning"/>
    <b v="0"/>
    <s v="Working day"/>
    <n v="6"/>
    <x v="0"/>
    <n v="2"/>
    <x v="1"/>
    <n v="0.02"/>
    <n v="2"/>
  </r>
  <r>
    <n v="486"/>
    <d v="2011-01-22T00:00:00"/>
    <n v="1"/>
    <n v="2011"/>
    <n v="1"/>
    <n v="7"/>
    <s v="Morning"/>
    <b v="0"/>
    <s v="Working day"/>
    <n v="6"/>
    <x v="0"/>
    <n v="1"/>
    <x v="0"/>
    <n v="0.02"/>
    <n v="2"/>
  </r>
  <r>
    <n v="487"/>
    <d v="2011-01-22T00:00:00"/>
    <n v="1"/>
    <n v="2011"/>
    <n v="1"/>
    <n v="8"/>
    <s v="Morning"/>
    <b v="0"/>
    <s v="Working day"/>
    <n v="6"/>
    <x v="0"/>
    <n v="1"/>
    <x v="0"/>
    <n v="0.02"/>
    <n v="2"/>
  </r>
  <r>
    <n v="488"/>
    <d v="2011-01-22T00:00:00"/>
    <n v="1"/>
    <n v="2011"/>
    <n v="1"/>
    <n v="9"/>
    <s v="Morning"/>
    <b v="0"/>
    <s v="Working day"/>
    <n v="6"/>
    <x v="0"/>
    <n v="1"/>
    <x v="0"/>
    <n v="0.04"/>
    <n v="4"/>
  </r>
  <r>
    <n v="489"/>
    <d v="2011-01-22T00:00:00"/>
    <n v="1"/>
    <n v="2011"/>
    <n v="1"/>
    <n v="10"/>
    <s v="Morning"/>
    <b v="0"/>
    <s v="Working day"/>
    <n v="6"/>
    <x v="0"/>
    <n v="2"/>
    <x v="1"/>
    <n v="0.04"/>
    <n v="4"/>
  </r>
  <r>
    <n v="490"/>
    <d v="2011-01-22T00:00:00"/>
    <n v="1"/>
    <n v="2011"/>
    <n v="1"/>
    <n v="11"/>
    <s v="Morning"/>
    <b v="0"/>
    <s v="Working day"/>
    <n v="6"/>
    <x v="0"/>
    <n v="2"/>
    <x v="1"/>
    <n v="0.06"/>
    <n v="6"/>
  </r>
  <r>
    <n v="491"/>
    <d v="2011-01-22T00:00:00"/>
    <n v="1"/>
    <n v="2011"/>
    <n v="1"/>
    <n v="12"/>
    <s v="Afternoon"/>
    <b v="0"/>
    <s v="Working day"/>
    <n v="6"/>
    <x v="0"/>
    <n v="2"/>
    <x v="1"/>
    <n v="0.06"/>
    <n v="6"/>
  </r>
  <r>
    <n v="492"/>
    <d v="2011-01-22T00:00:00"/>
    <n v="1"/>
    <n v="2011"/>
    <n v="1"/>
    <n v="13"/>
    <s v="Afternoon"/>
    <b v="0"/>
    <s v="Working day"/>
    <n v="6"/>
    <x v="0"/>
    <n v="1"/>
    <x v="0"/>
    <n v="0.08"/>
    <n v="8"/>
  </r>
  <r>
    <n v="493"/>
    <d v="2011-01-22T00:00:00"/>
    <n v="1"/>
    <n v="2011"/>
    <n v="1"/>
    <n v="14"/>
    <s v="Afternoon"/>
    <b v="0"/>
    <s v="Working day"/>
    <n v="6"/>
    <x v="0"/>
    <n v="1"/>
    <x v="0"/>
    <n v="0.1"/>
    <n v="10"/>
  </r>
  <r>
    <n v="494"/>
    <d v="2011-01-22T00:00:00"/>
    <n v="1"/>
    <n v="2011"/>
    <n v="1"/>
    <n v="15"/>
    <s v="Afternoon"/>
    <b v="0"/>
    <s v="Working day"/>
    <n v="6"/>
    <x v="0"/>
    <n v="1"/>
    <x v="0"/>
    <n v="0.12"/>
    <n v="12"/>
  </r>
  <r>
    <n v="495"/>
    <d v="2011-01-22T00:00:00"/>
    <n v="1"/>
    <n v="2011"/>
    <n v="1"/>
    <n v="16"/>
    <s v="Afternoon"/>
    <b v="0"/>
    <s v="Working day"/>
    <n v="6"/>
    <x v="0"/>
    <n v="1"/>
    <x v="0"/>
    <n v="0.12"/>
    <n v="12"/>
  </r>
  <r>
    <n v="496"/>
    <d v="2011-01-22T00:00:00"/>
    <n v="1"/>
    <n v="2011"/>
    <n v="1"/>
    <n v="17"/>
    <s v="Afternoon"/>
    <b v="0"/>
    <s v="Working day"/>
    <n v="6"/>
    <x v="0"/>
    <n v="1"/>
    <x v="0"/>
    <n v="0.12"/>
    <n v="12"/>
  </r>
  <r>
    <n v="497"/>
    <d v="2011-01-22T00:00:00"/>
    <n v="1"/>
    <n v="2011"/>
    <n v="1"/>
    <n v="18"/>
    <s v="Evening"/>
    <b v="0"/>
    <s v="Working day"/>
    <n v="6"/>
    <x v="0"/>
    <n v="1"/>
    <x v="0"/>
    <n v="0.08"/>
    <n v="8"/>
  </r>
  <r>
    <n v="498"/>
    <d v="2011-01-22T00:00:00"/>
    <n v="1"/>
    <n v="2011"/>
    <n v="1"/>
    <n v="19"/>
    <s v="Evening"/>
    <b v="0"/>
    <s v="Working day"/>
    <n v="6"/>
    <x v="0"/>
    <n v="1"/>
    <x v="0"/>
    <n v="0.08"/>
    <n v="8"/>
  </r>
  <r>
    <n v="499"/>
    <d v="2011-01-22T00:00:00"/>
    <n v="1"/>
    <n v="2011"/>
    <n v="1"/>
    <n v="20"/>
    <s v="Evening"/>
    <b v="0"/>
    <s v="Working day"/>
    <n v="6"/>
    <x v="0"/>
    <n v="1"/>
    <x v="0"/>
    <n v="0.06"/>
    <n v="6"/>
  </r>
  <r>
    <n v="500"/>
    <d v="2011-01-22T00:00:00"/>
    <n v="1"/>
    <n v="2011"/>
    <n v="1"/>
    <n v="21"/>
    <s v="Evening"/>
    <b v="0"/>
    <s v="Working day"/>
    <n v="6"/>
    <x v="0"/>
    <n v="1"/>
    <x v="0"/>
    <n v="0.06"/>
    <n v="6"/>
  </r>
  <r>
    <n v="501"/>
    <d v="2011-01-22T00:00:00"/>
    <n v="1"/>
    <n v="2011"/>
    <n v="1"/>
    <n v="22"/>
    <s v="Evening"/>
    <b v="0"/>
    <s v="Working day"/>
    <n v="6"/>
    <x v="0"/>
    <n v="1"/>
    <x v="0"/>
    <n v="0.06"/>
    <n v="6"/>
  </r>
  <r>
    <n v="502"/>
    <d v="2011-01-22T00:00:00"/>
    <n v="1"/>
    <n v="2011"/>
    <n v="1"/>
    <n v="23"/>
    <s v="Evening"/>
    <b v="0"/>
    <s v="Working day"/>
    <n v="6"/>
    <x v="0"/>
    <n v="1"/>
    <x v="0"/>
    <n v="0.04"/>
    <n v="4"/>
  </r>
  <r>
    <n v="503"/>
    <d v="2011-01-23T00:00:00"/>
    <n v="1"/>
    <n v="2011"/>
    <n v="1"/>
    <n v="0"/>
    <s v="Night"/>
    <b v="0"/>
    <s v="Working day"/>
    <n v="0"/>
    <x v="1"/>
    <n v="1"/>
    <x v="0"/>
    <n v="0.04"/>
    <n v="4"/>
  </r>
  <r>
    <n v="504"/>
    <d v="2011-01-23T00:00:00"/>
    <n v="1"/>
    <n v="2011"/>
    <n v="1"/>
    <n v="1"/>
    <s v="Night"/>
    <b v="0"/>
    <s v="Working day"/>
    <n v="0"/>
    <x v="1"/>
    <n v="1"/>
    <x v="0"/>
    <n v="0.04"/>
    <n v="4"/>
  </r>
  <r>
    <n v="505"/>
    <d v="2011-01-23T00:00:00"/>
    <n v="1"/>
    <n v="2011"/>
    <n v="1"/>
    <n v="2"/>
    <s v="Night"/>
    <b v="0"/>
    <s v="Working day"/>
    <n v="0"/>
    <x v="1"/>
    <n v="1"/>
    <x v="0"/>
    <n v="0.02"/>
    <n v="2"/>
  </r>
  <r>
    <n v="506"/>
    <d v="2011-01-23T00:00:00"/>
    <n v="1"/>
    <n v="2011"/>
    <n v="1"/>
    <n v="3"/>
    <s v="Night"/>
    <b v="0"/>
    <s v="Working day"/>
    <n v="0"/>
    <x v="1"/>
    <n v="1"/>
    <x v="0"/>
    <n v="0.02"/>
    <n v="2"/>
  </r>
  <r>
    <n v="507"/>
    <d v="2011-01-23T00:00:00"/>
    <n v="1"/>
    <n v="2011"/>
    <n v="1"/>
    <n v="5"/>
    <s v="Night"/>
    <b v="0"/>
    <s v="Working day"/>
    <n v="0"/>
    <x v="1"/>
    <n v="2"/>
    <x v="1"/>
    <n v="0.04"/>
    <n v="4"/>
  </r>
  <r>
    <n v="508"/>
    <d v="2011-01-23T00:00:00"/>
    <n v="1"/>
    <n v="2011"/>
    <n v="1"/>
    <n v="6"/>
    <s v="Morning"/>
    <b v="0"/>
    <s v="Working day"/>
    <n v="0"/>
    <x v="1"/>
    <n v="2"/>
    <x v="1"/>
    <n v="0.04"/>
    <n v="4"/>
  </r>
  <r>
    <n v="509"/>
    <d v="2011-01-23T00:00:00"/>
    <n v="1"/>
    <n v="2011"/>
    <n v="1"/>
    <n v="7"/>
    <s v="Morning"/>
    <b v="0"/>
    <s v="Working day"/>
    <n v="0"/>
    <x v="1"/>
    <n v="1"/>
    <x v="0"/>
    <n v="0.08"/>
    <n v="8"/>
  </r>
  <r>
    <n v="510"/>
    <d v="2011-01-23T00:00:00"/>
    <n v="1"/>
    <n v="2011"/>
    <n v="1"/>
    <n v="8"/>
    <s v="Morning"/>
    <b v="0"/>
    <s v="Working day"/>
    <n v="0"/>
    <x v="1"/>
    <n v="1"/>
    <x v="0"/>
    <n v="0.06"/>
    <n v="6"/>
  </r>
  <r>
    <n v="511"/>
    <d v="2011-01-23T00:00:00"/>
    <n v="1"/>
    <n v="2011"/>
    <n v="1"/>
    <n v="9"/>
    <s v="Morning"/>
    <b v="0"/>
    <s v="Working day"/>
    <n v="0"/>
    <x v="1"/>
    <n v="1"/>
    <x v="0"/>
    <n v="0.1"/>
    <n v="10"/>
  </r>
  <r>
    <n v="512"/>
    <d v="2011-01-23T00:00:00"/>
    <n v="1"/>
    <n v="2011"/>
    <n v="1"/>
    <n v="10"/>
    <s v="Morning"/>
    <b v="0"/>
    <s v="Working day"/>
    <n v="0"/>
    <x v="1"/>
    <n v="1"/>
    <x v="0"/>
    <n v="0.14000000000000001"/>
    <n v="14.000000000000002"/>
  </r>
  <r>
    <n v="513"/>
    <d v="2011-01-23T00:00:00"/>
    <n v="1"/>
    <n v="2011"/>
    <n v="1"/>
    <n v="11"/>
    <s v="Morning"/>
    <b v="0"/>
    <s v="Working day"/>
    <n v="0"/>
    <x v="1"/>
    <n v="1"/>
    <x v="0"/>
    <n v="0.14000000000000001"/>
    <n v="14.000000000000002"/>
  </r>
  <r>
    <n v="514"/>
    <d v="2011-01-23T00:00:00"/>
    <n v="1"/>
    <n v="2011"/>
    <n v="1"/>
    <n v="12"/>
    <s v="Afternoon"/>
    <b v="0"/>
    <s v="Working day"/>
    <n v="0"/>
    <x v="1"/>
    <n v="1"/>
    <x v="0"/>
    <n v="0.16"/>
    <n v="16"/>
  </r>
  <r>
    <n v="515"/>
    <d v="2011-01-23T00:00:00"/>
    <n v="1"/>
    <n v="2011"/>
    <n v="1"/>
    <n v="13"/>
    <s v="Afternoon"/>
    <b v="0"/>
    <s v="Working day"/>
    <n v="0"/>
    <x v="1"/>
    <n v="1"/>
    <x v="0"/>
    <n v="0.14000000000000001"/>
    <n v="14.000000000000002"/>
  </r>
  <r>
    <n v="516"/>
    <d v="2011-01-23T00:00:00"/>
    <n v="1"/>
    <n v="2011"/>
    <n v="1"/>
    <n v="14"/>
    <s v="Afternoon"/>
    <b v="0"/>
    <s v="Working day"/>
    <n v="0"/>
    <x v="1"/>
    <n v="1"/>
    <x v="0"/>
    <n v="0.16"/>
    <n v="16"/>
  </r>
  <r>
    <n v="517"/>
    <d v="2011-01-23T00:00:00"/>
    <n v="1"/>
    <n v="2011"/>
    <n v="1"/>
    <n v="15"/>
    <s v="Afternoon"/>
    <b v="0"/>
    <s v="Working day"/>
    <n v="0"/>
    <x v="1"/>
    <n v="1"/>
    <x v="0"/>
    <n v="0.16"/>
    <n v="16"/>
  </r>
  <r>
    <n v="518"/>
    <d v="2011-01-23T00:00:00"/>
    <n v="1"/>
    <n v="2011"/>
    <n v="1"/>
    <n v="16"/>
    <s v="Afternoon"/>
    <b v="0"/>
    <s v="Working day"/>
    <n v="0"/>
    <x v="1"/>
    <n v="1"/>
    <x v="0"/>
    <n v="0.16"/>
    <n v="16"/>
  </r>
  <r>
    <n v="519"/>
    <d v="2011-01-23T00:00:00"/>
    <n v="1"/>
    <n v="2011"/>
    <n v="1"/>
    <n v="17"/>
    <s v="Afternoon"/>
    <b v="0"/>
    <s v="Working day"/>
    <n v="0"/>
    <x v="1"/>
    <n v="1"/>
    <x v="0"/>
    <n v="0.14000000000000001"/>
    <n v="14.000000000000002"/>
  </r>
  <r>
    <n v="520"/>
    <d v="2011-01-23T00:00:00"/>
    <n v="1"/>
    <n v="2011"/>
    <n v="1"/>
    <n v="18"/>
    <s v="Evening"/>
    <b v="0"/>
    <s v="Working day"/>
    <n v="0"/>
    <x v="1"/>
    <n v="1"/>
    <x v="0"/>
    <n v="0.12"/>
    <n v="12"/>
  </r>
  <r>
    <n v="521"/>
    <d v="2011-01-23T00:00:00"/>
    <n v="1"/>
    <n v="2011"/>
    <n v="1"/>
    <n v="19"/>
    <s v="Evening"/>
    <b v="0"/>
    <s v="Working day"/>
    <n v="0"/>
    <x v="1"/>
    <n v="1"/>
    <x v="0"/>
    <n v="0.12"/>
    <n v="12"/>
  </r>
  <r>
    <n v="522"/>
    <d v="2011-01-23T00:00:00"/>
    <n v="1"/>
    <n v="2011"/>
    <n v="1"/>
    <n v="20"/>
    <s v="Evening"/>
    <b v="0"/>
    <s v="Working day"/>
    <n v="0"/>
    <x v="1"/>
    <n v="1"/>
    <x v="0"/>
    <n v="0.1"/>
    <n v="10"/>
  </r>
  <r>
    <n v="523"/>
    <d v="2011-01-23T00:00:00"/>
    <n v="1"/>
    <n v="2011"/>
    <n v="1"/>
    <n v="21"/>
    <s v="Evening"/>
    <b v="0"/>
    <s v="Working day"/>
    <n v="0"/>
    <x v="1"/>
    <n v="1"/>
    <x v="0"/>
    <n v="0.1"/>
    <n v="10"/>
  </r>
  <r>
    <n v="524"/>
    <d v="2011-01-23T00:00:00"/>
    <n v="1"/>
    <n v="2011"/>
    <n v="1"/>
    <n v="22"/>
    <s v="Evening"/>
    <b v="0"/>
    <s v="Working day"/>
    <n v="0"/>
    <x v="1"/>
    <n v="1"/>
    <x v="0"/>
    <n v="0.08"/>
    <n v="8"/>
  </r>
  <r>
    <n v="525"/>
    <d v="2011-01-23T00:00:00"/>
    <n v="1"/>
    <n v="2011"/>
    <n v="1"/>
    <n v="23"/>
    <s v="Evening"/>
    <b v="0"/>
    <s v="Working day"/>
    <n v="0"/>
    <x v="1"/>
    <n v="1"/>
    <x v="0"/>
    <n v="0.06"/>
    <n v="6"/>
  </r>
  <r>
    <n v="526"/>
    <d v="2011-01-24T00:00:00"/>
    <n v="1"/>
    <n v="2011"/>
    <n v="1"/>
    <n v="0"/>
    <s v="Night"/>
    <b v="0"/>
    <s v="Working day"/>
    <n v="1"/>
    <x v="2"/>
    <n v="1"/>
    <x v="0"/>
    <n v="0.06"/>
    <n v="6"/>
  </r>
  <r>
    <n v="527"/>
    <d v="2011-01-24T00:00:00"/>
    <n v="1"/>
    <n v="2011"/>
    <n v="1"/>
    <n v="1"/>
    <s v="Night"/>
    <b v="0"/>
    <s v="Working day"/>
    <n v="1"/>
    <x v="2"/>
    <n v="1"/>
    <x v="0"/>
    <n v="0.04"/>
    <n v="4"/>
  </r>
  <r>
    <n v="528"/>
    <d v="2011-01-24T00:00:00"/>
    <n v="1"/>
    <n v="2011"/>
    <n v="1"/>
    <n v="3"/>
    <s v="Night"/>
    <b v="0"/>
    <s v="Working day"/>
    <n v="1"/>
    <x v="2"/>
    <n v="1"/>
    <x v="0"/>
    <n v="0.04"/>
    <n v="4"/>
  </r>
  <r>
    <n v="529"/>
    <d v="2011-01-24T00:00:00"/>
    <n v="1"/>
    <n v="2011"/>
    <n v="1"/>
    <n v="4"/>
    <s v="Night"/>
    <b v="0"/>
    <s v="Working day"/>
    <n v="1"/>
    <x v="2"/>
    <n v="1"/>
    <x v="0"/>
    <n v="0.02"/>
    <n v="2"/>
  </r>
  <r>
    <n v="530"/>
    <d v="2011-01-24T00:00:00"/>
    <n v="1"/>
    <n v="2011"/>
    <n v="1"/>
    <n v="5"/>
    <s v="Night"/>
    <b v="0"/>
    <s v="Working day"/>
    <n v="1"/>
    <x v="2"/>
    <n v="1"/>
    <x v="0"/>
    <n v="0.02"/>
    <n v="2"/>
  </r>
  <r>
    <n v="531"/>
    <d v="2011-01-24T00:00:00"/>
    <n v="1"/>
    <n v="2011"/>
    <n v="1"/>
    <n v="6"/>
    <s v="Morning"/>
    <b v="0"/>
    <s v="Working day"/>
    <n v="1"/>
    <x v="2"/>
    <n v="1"/>
    <x v="0"/>
    <n v="0.02"/>
    <n v="2"/>
  </r>
  <r>
    <n v="532"/>
    <d v="2011-01-24T00:00:00"/>
    <n v="1"/>
    <n v="2011"/>
    <n v="1"/>
    <n v="7"/>
    <s v="Morning"/>
    <b v="0"/>
    <s v="Working day"/>
    <n v="1"/>
    <x v="2"/>
    <n v="1"/>
    <x v="0"/>
    <n v="0.02"/>
    <n v="2"/>
  </r>
  <r>
    <n v="533"/>
    <d v="2011-01-24T00:00:00"/>
    <n v="1"/>
    <n v="2011"/>
    <n v="1"/>
    <n v="8"/>
    <s v="Morning"/>
    <b v="0"/>
    <s v="Working day"/>
    <n v="1"/>
    <x v="2"/>
    <n v="1"/>
    <x v="0"/>
    <n v="0.04"/>
    <n v="4"/>
  </r>
  <r>
    <n v="534"/>
    <d v="2011-01-24T00:00:00"/>
    <n v="1"/>
    <n v="2011"/>
    <n v="1"/>
    <n v="9"/>
    <s v="Morning"/>
    <b v="0"/>
    <s v="Working day"/>
    <n v="1"/>
    <x v="2"/>
    <n v="1"/>
    <x v="0"/>
    <n v="0.06"/>
    <n v="6"/>
  </r>
  <r>
    <n v="535"/>
    <d v="2011-01-24T00:00:00"/>
    <n v="1"/>
    <n v="2011"/>
    <n v="1"/>
    <n v="10"/>
    <s v="Morning"/>
    <b v="0"/>
    <s v="Working day"/>
    <n v="1"/>
    <x v="2"/>
    <n v="1"/>
    <x v="0"/>
    <n v="0.1"/>
    <n v="10"/>
  </r>
  <r>
    <n v="536"/>
    <d v="2011-01-24T00:00:00"/>
    <n v="1"/>
    <n v="2011"/>
    <n v="1"/>
    <n v="11"/>
    <s v="Morning"/>
    <b v="0"/>
    <s v="Working day"/>
    <n v="1"/>
    <x v="2"/>
    <n v="1"/>
    <x v="0"/>
    <n v="0.1"/>
    <n v="10"/>
  </r>
  <r>
    <n v="537"/>
    <d v="2011-01-24T00:00:00"/>
    <n v="1"/>
    <n v="2011"/>
    <n v="1"/>
    <n v="12"/>
    <s v="Afternoon"/>
    <b v="0"/>
    <s v="Working day"/>
    <n v="1"/>
    <x v="2"/>
    <n v="2"/>
    <x v="1"/>
    <n v="0.12"/>
    <n v="12"/>
  </r>
  <r>
    <n v="538"/>
    <d v="2011-01-24T00:00:00"/>
    <n v="1"/>
    <n v="2011"/>
    <n v="1"/>
    <n v="13"/>
    <s v="Afternoon"/>
    <b v="0"/>
    <s v="Working day"/>
    <n v="1"/>
    <x v="2"/>
    <n v="2"/>
    <x v="1"/>
    <n v="0.14000000000000001"/>
    <n v="14.000000000000002"/>
  </r>
  <r>
    <n v="539"/>
    <d v="2011-01-24T00:00:00"/>
    <n v="1"/>
    <n v="2011"/>
    <n v="1"/>
    <n v="14"/>
    <s v="Afternoon"/>
    <b v="0"/>
    <s v="Working day"/>
    <n v="1"/>
    <x v="2"/>
    <n v="2"/>
    <x v="1"/>
    <n v="0.14000000000000001"/>
    <n v="14.000000000000002"/>
  </r>
  <r>
    <n v="540"/>
    <d v="2011-01-24T00:00:00"/>
    <n v="1"/>
    <n v="2011"/>
    <n v="1"/>
    <n v="15"/>
    <s v="Afternoon"/>
    <b v="0"/>
    <s v="Working day"/>
    <n v="1"/>
    <x v="2"/>
    <n v="1"/>
    <x v="0"/>
    <n v="0.16"/>
    <n v="16"/>
  </r>
  <r>
    <n v="541"/>
    <d v="2011-01-24T00:00:00"/>
    <n v="1"/>
    <n v="2011"/>
    <n v="1"/>
    <n v="16"/>
    <s v="Afternoon"/>
    <b v="0"/>
    <s v="Working day"/>
    <n v="1"/>
    <x v="2"/>
    <n v="1"/>
    <x v="0"/>
    <n v="0.16"/>
    <n v="16"/>
  </r>
  <r>
    <n v="542"/>
    <d v="2011-01-24T00:00:00"/>
    <n v="1"/>
    <n v="2011"/>
    <n v="1"/>
    <n v="17"/>
    <s v="Afternoon"/>
    <b v="0"/>
    <s v="Working day"/>
    <n v="1"/>
    <x v="2"/>
    <n v="1"/>
    <x v="0"/>
    <n v="0.14000000000000001"/>
    <n v="14.000000000000002"/>
  </r>
  <r>
    <n v="543"/>
    <d v="2011-01-24T00:00:00"/>
    <n v="1"/>
    <n v="2011"/>
    <n v="1"/>
    <n v="18"/>
    <s v="Evening"/>
    <b v="0"/>
    <s v="Working day"/>
    <n v="1"/>
    <x v="2"/>
    <n v="1"/>
    <x v="0"/>
    <n v="0.14000000000000001"/>
    <n v="14.000000000000002"/>
  </r>
  <r>
    <n v="544"/>
    <d v="2011-01-24T00:00:00"/>
    <n v="1"/>
    <n v="2011"/>
    <n v="1"/>
    <n v="19"/>
    <s v="Evening"/>
    <b v="0"/>
    <s v="Working day"/>
    <n v="1"/>
    <x v="2"/>
    <n v="1"/>
    <x v="0"/>
    <n v="0.14000000000000001"/>
    <n v="14.000000000000002"/>
  </r>
  <r>
    <n v="545"/>
    <d v="2011-01-24T00:00:00"/>
    <n v="1"/>
    <n v="2011"/>
    <n v="1"/>
    <n v="20"/>
    <s v="Evening"/>
    <b v="0"/>
    <s v="Working day"/>
    <n v="1"/>
    <x v="2"/>
    <n v="1"/>
    <x v="0"/>
    <n v="0.14000000000000001"/>
    <n v="14.000000000000002"/>
  </r>
  <r>
    <n v="546"/>
    <d v="2011-01-24T00:00:00"/>
    <n v="1"/>
    <n v="2011"/>
    <n v="1"/>
    <n v="21"/>
    <s v="Evening"/>
    <b v="0"/>
    <s v="Working day"/>
    <n v="1"/>
    <x v="2"/>
    <n v="1"/>
    <x v="0"/>
    <n v="0.14000000000000001"/>
    <n v="14.000000000000002"/>
  </r>
  <r>
    <n v="547"/>
    <d v="2011-01-24T00:00:00"/>
    <n v="1"/>
    <n v="2011"/>
    <n v="1"/>
    <n v="22"/>
    <s v="Evening"/>
    <b v="0"/>
    <s v="Working day"/>
    <n v="1"/>
    <x v="2"/>
    <n v="2"/>
    <x v="1"/>
    <n v="0.14000000000000001"/>
    <n v="14.000000000000002"/>
  </r>
  <r>
    <n v="548"/>
    <d v="2011-01-24T00:00:00"/>
    <n v="1"/>
    <n v="2011"/>
    <n v="1"/>
    <n v="23"/>
    <s v="Evening"/>
    <b v="0"/>
    <s v="Working day"/>
    <n v="1"/>
    <x v="2"/>
    <n v="2"/>
    <x v="1"/>
    <n v="0.16"/>
    <n v="16"/>
  </r>
  <r>
    <n v="549"/>
    <d v="2011-01-25T00:00:00"/>
    <n v="1"/>
    <n v="2011"/>
    <n v="1"/>
    <n v="0"/>
    <s v="Night"/>
    <b v="0"/>
    <s v="Working day"/>
    <n v="2"/>
    <x v="3"/>
    <n v="2"/>
    <x v="1"/>
    <n v="0.16"/>
    <n v="16"/>
  </r>
  <r>
    <n v="550"/>
    <d v="2011-01-25T00:00:00"/>
    <n v="1"/>
    <n v="2011"/>
    <n v="1"/>
    <n v="1"/>
    <s v="Night"/>
    <b v="0"/>
    <s v="Working day"/>
    <n v="2"/>
    <x v="3"/>
    <n v="2"/>
    <x v="1"/>
    <n v="0.16"/>
    <n v="16"/>
  </r>
  <r>
    <n v="551"/>
    <d v="2011-01-25T00:00:00"/>
    <n v="1"/>
    <n v="2011"/>
    <n v="1"/>
    <n v="2"/>
    <s v="Night"/>
    <b v="0"/>
    <s v="Working day"/>
    <n v="2"/>
    <x v="3"/>
    <n v="1"/>
    <x v="0"/>
    <n v="0.16"/>
    <n v="16"/>
  </r>
  <r>
    <n v="552"/>
    <d v="2011-01-25T00:00:00"/>
    <n v="1"/>
    <n v="2011"/>
    <n v="1"/>
    <n v="4"/>
    <s v="Night"/>
    <b v="0"/>
    <s v="Working day"/>
    <n v="2"/>
    <x v="3"/>
    <n v="1"/>
    <x v="0"/>
    <n v="0.14000000000000001"/>
    <n v="14.000000000000002"/>
  </r>
  <r>
    <n v="553"/>
    <d v="2011-01-25T00:00:00"/>
    <n v="1"/>
    <n v="2011"/>
    <n v="1"/>
    <n v="5"/>
    <s v="Night"/>
    <b v="0"/>
    <s v="Working day"/>
    <n v="2"/>
    <x v="3"/>
    <n v="1"/>
    <x v="0"/>
    <n v="0.14000000000000001"/>
    <n v="14.000000000000002"/>
  </r>
  <r>
    <n v="554"/>
    <d v="2011-01-25T00:00:00"/>
    <n v="1"/>
    <n v="2011"/>
    <n v="1"/>
    <n v="6"/>
    <s v="Morning"/>
    <b v="0"/>
    <s v="Working day"/>
    <n v="2"/>
    <x v="3"/>
    <n v="1"/>
    <x v="0"/>
    <n v="0.16"/>
    <n v="16"/>
  </r>
  <r>
    <n v="555"/>
    <d v="2011-01-25T00:00:00"/>
    <n v="1"/>
    <n v="2011"/>
    <n v="1"/>
    <n v="7"/>
    <s v="Morning"/>
    <b v="0"/>
    <s v="Working day"/>
    <n v="2"/>
    <x v="3"/>
    <n v="1"/>
    <x v="0"/>
    <n v="0.16"/>
    <n v="16"/>
  </r>
  <r>
    <n v="556"/>
    <d v="2011-01-25T00:00:00"/>
    <n v="1"/>
    <n v="2011"/>
    <n v="1"/>
    <n v="8"/>
    <s v="Morning"/>
    <b v="0"/>
    <s v="Working day"/>
    <n v="2"/>
    <x v="3"/>
    <n v="2"/>
    <x v="1"/>
    <n v="0.16"/>
    <n v="16"/>
  </r>
  <r>
    <n v="557"/>
    <d v="2011-01-25T00:00:00"/>
    <n v="1"/>
    <n v="2011"/>
    <n v="1"/>
    <n v="9"/>
    <s v="Morning"/>
    <b v="0"/>
    <s v="Working day"/>
    <n v="2"/>
    <x v="3"/>
    <n v="2"/>
    <x v="1"/>
    <n v="0.2"/>
    <n v="20"/>
  </r>
  <r>
    <n v="558"/>
    <d v="2011-01-25T00:00:00"/>
    <n v="1"/>
    <n v="2011"/>
    <n v="1"/>
    <n v="10"/>
    <s v="Morning"/>
    <b v="0"/>
    <s v="Working day"/>
    <n v="2"/>
    <x v="3"/>
    <n v="2"/>
    <x v="1"/>
    <n v="0.22"/>
    <n v="22"/>
  </r>
  <r>
    <n v="559"/>
    <d v="2011-01-25T00:00:00"/>
    <n v="1"/>
    <n v="2011"/>
    <n v="1"/>
    <n v="11"/>
    <s v="Morning"/>
    <b v="0"/>
    <s v="Working day"/>
    <n v="2"/>
    <x v="3"/>
    <n v="2"/>
    <x v="1"/>
    <n v="0.24"/>
    <n v="24"/>
  </r>
  <r>
    <n v="560"/>
    <d v="2011-01-25T00:00:00"/>
    <n v="1"/>
    <n v="2011"/>
    <n v="1"/>
    <n v="12"/>
    <s v="Afternoon"/>
    <b v="0"/>
    <s v="Working day"/>
    <n v="2"/>
    <x v="3"/>
    <n v="2"/>
    <x v="1"/>
    <n v="0.26"/>
    <n v="26"/>
  </r>
  <r>
    <n v="561"/>
    <d v="2011-01-25T00:00:00"/>
    <n v="1"/>
    <n v="2011"/>
    <n v="1"/>
    <n v="13"/>
    <s v="Afternoon"/>
    <b v="0"/>
    <s v="Working day"/>
    <n v="2"/>
    <x v="3"/>
    <n v="2"/>
    <x v="1"/>
    <n v="0.26"/>
    <n v="26"/>
  </r>
  <r>
    <n v="562"/>
    <d v="2011-01-25T00:00:00"/>
    <n v="1"/>
    <n v="2011"/>
    <n v="1"/>
    <n v="14"/>
    <s v="Afternoon"/>
    <b v="0"/>
    <s v="Working day"/>
    <n v="2"/>
    <x v="3"/>
    <n v="2"/>
    <x v="1"/>
    <n v="0.3"/>
    <n v="30"/>
  </r>
  <r>
    <n v="563"/>
    <d v="2011-01-25T00:00:00"/>
    <n v="1"/>
    <n v="2011"/>
    <n v="1"/>
    <n v="15"/>
    <s v="Afternoon"/>
    <b v="0"/>
    <s v="Working day"/>
    <n v="2"/>
    <x v="3"/>
    <n v="2"/>
    <x v="1"/>
    <n v="0.32"/>
    <n v="32"/>
  </r>
  <r>
    <n v="564"/>
    <d v="2011-01-25T00:00:00"/>
    <n v="1"/>
    <n v="2011"/>
    <n v="1"/>
    <n v="16"/>
    <s v="Afternoon"/>
    <b v="0"/>
    <s v="Working day"/>
    <n v="2"/>
    <x v="3"/>
    <n v="2"/>
    <x v="1"/>
    <n v="0.32"/>
    <n v="32"/>
  </r>
  <r>
    <n v="565"/>
    <d v="2011-01-25T00:00:00"/>
    <n v="1"/>
    <n v="2011"/>
    <n v="1"/>
    <n v="17"/>
    <s v="Afternoon"/>
    <b v="0"/>
    <s v="Working day"/>
    <n v="2"/>
    <x v="3"/>
    <n v="1"/>
    <x v="0"/>
    <n v="0.3"/>
    <n v="30"/>
  </r>
  <r>
    <n v="566"/>
    <d v="2011-01-25T00:00:00"/>
    <n v="1"/>
    <n v="2011"/>
    <n v="1"/>
    <n v="18"/>
    <s v="Evening"/>
    <b v="0"/>
    <s v="Working day"/>
    <n v="2"/>
    <x v="3"/>
    <n v="2"/>
    <x v="1"/>
    <n v="0.3"/>
    <n v="30"/>
  </r>
  <r>
    <n v="567"/>
    <d v="2011-01-25T00:00:00"/>
    <n v="1"/>
    <n v="2011"/>
    <n v="1"/>
    <n v="19"/>
    <s v="Evening"/>
    <b v="0"/>
    <s v="Working day"/>
    <n v="2"/>
    <x v="3"/>
    <n v="2"/>
    <x v="1"/>
    <n v="0.26"/>
    <n v="26"/>
  </r>
  <r>
    <n v="568"/>
    <d v="2011-01-25T00:00:00"/>
    <n v="1"/>
    <n v="2011"/>
    <n v="1"/>
    <n v="20"/>
    <s v="Evening"/>
    <b v="0"/>
    <s v="Working day"/>
    <n v="2"/>
    <x v="3"/>
    <n v="1"/>
    <x v="0"/>
    <n v="0.24"/>
    <n v="24"/>
  </r>
  <r>
    <n v="569"/>
    <d v="2011-01-25T00:00:00"/>
    <n v="1"/>
    <n v="2011"/>
    <n v="1"/>
    <n v="21"/>
    <s v="Evening"/>
    <b v="0"/>
    <s v="Working day"/>
    <n v="2"/>
    <x v="3"/>
    <n v="1"/>
    <x v="0"/>
    <n v="0.24"/>
    <n v="24"/>
  </r>
  <r>
    <n v="570"/>
    <d v="2011-01-25T00:00:00"/>
    <n v="1"/>
    <n v="2011"/>
    <n v="1"/>
    <n v="22"/>
    <s v="Evening"/>
    <b v="0"/>
    <s v="Working day"/>
    <n v="2"/>
    <x v="3"/>
    <n v="1"/>
    <x v="0"/>
    <n v="0.22"/>
    <n v="22"/>
  </r>
  <r>
    <n v="571"/>
    <d v="2011-01-25T00:00:00"/>
    <n v="1"/>
    <n v="2011"/>
    <n v="1"/>
    <n v="23"/>
    <s v="Evening"/>
    <b v="0"/>
    <s v="Working day"/>
    <n v="2"/>
    <x v="3"/>
    <n v="2"/>
    <x v="1"/>
    <n v="0.22"/>
    <n v="22"/>
  </r>
  <r>
    <n v="572"/>
    <d v="2011-01-26T00:00:00"/>
    <n v="1"/>
    <n v="2011"/>
    <n v="1"/>
    <n v="0"/>
    <s v="Night"/>
    <b v="0"/>
    <s v="Working day"/>
    <n v="3"/>
    <x v="4"/>
    <n v="2"/>
    <x v="1"/>
    <n v="0.22"/>
    <n v="22"/>
  </r>
  <r>
    <n v="573"/>
    <d v="2011-01-26T00:00:00"/>
    <n v="1"/>
    <n v="2011"/>
    <n v="1"/>
    <n v="1"/>
    <s v="Night"/>
    <b v="0"/>
    <s v="Working day"/>
    <n v="3"/>
    <x v="4"/>
    <n v="2"/>
    <x v="1"/>
    <n v="0.24"/>
    <n v="24"/>
  </r>
  <r>
    <n v="574"/>
    <d v="2011-01-26T00:00:00"/>
    <n v="1"/>
    <n v="2011"/>
    <n v="1"/>
    <n v="2"/>
    <s v="Night"/>
    <b v="0"/>
    <s v="Working day"/>
    <n v="3"/>
    <x v="4"/>
    <n v="3"/>
    <x v="2"/>
    <n v="0.22"/>
    <n v="22"/>
  </r>
  <r>
    <n v="575"/>
    <d v="2011-01-26T00:00:00"/>
    <n v="1"/>
    <n v="2011"/>
    <n v="1"/>
    <n v="5"/>
    <s v="Night"/>
    <b v="0"/>
    <s v="Working day"/>
    <n v="3"/>
    <x v="4"/>
    <n v="3"/>
    <x v="2"/>
    <n v="0.2"/>
    <n v="20"/>
  </r>
  <r>
    <n v="576"/>
    <d v="2011-01-26T00:00:00"/>
    <n v="1"/>
    <n v="2011"/>
    <n v="1"/>
    <n v="6"/>
    <s v="Morning"/>
    <b v="0"/>
    <s v="Working day"/>
    <n v="3"/>
    <x v="4"/>
    <n v="3"/>
    <x v="2"/>
    <n v="0.2"/>
    <n v="20"/>
  </r>
  <r>
    <n v="577"/>
    <d v="2011-01-26T00:00:00"/>
    <n v="1"/>
    <n v="2011"/>
    <n v="1"/>
    <n v="7"/>
    <s v="Morning"/>
    <b v="0"/>
    <s v="Working day"/>
    <n v="3"/>
    <x v="4"/>
    <n v="3"/>
    <x v="2"/>
    <n v="0.22"/>
    <n v="22"/>
  </r>
  <r>
    <n v="578"/>
    <d v="2011-01-26T00:00:00"/>
    <n v="1"/>
    <n v="2011"/>
    <n v="1"/>
    <n v="8"/>
    <s v="Morning"/>
    <b v="0"/>
    <s v="Working day"/>
    <n v="3"/>
    <x v="4"/>
    <n v="3"/>
    <x v="2"/>
    <n v="0.22"/>
    <n v="22"/>
  </r>
  <r>
    <n v="579"/>
    <d v="2011-01-26T00:00:00"/>
    <n v="1"/>
    <n v="2011"/>
    <n v="1"/>
    <n v="9"/>
    <s v="Morning"/>
    <b v="0"/>
    <s v="Working day"/>
    <n v="3"/>
    <x v="4"/>
    <n v="3"/>
    <x v="2"/>
    <n v="0.22"/>
    <n v="22"/>
  </r>
  <r>
    <n v="580"/>
    <d v="2011-01-26T00:00:00"/>
    <n v="1"/>
    <n v="2011"/>
    <n v="1"/>
    <n v="10"/>
    <s v="Morning"/>
    <b v="0"/>
    <s v="Working day"/>
    <n v="3"/>
    <x v="4"/>
    <n v="3"/>
    <x v="2"/>
    <n v="0.22"/>
    <n v="22"/>
  </r>
  <r>
    <n v="581"/>
    <d v="2011-01-26T00:00:00"/>
    <n v="1"/>
    <n v="2011"/>
    <n v="1"/>
    <n v="11"/>
    <s v="Morning"/>
    <b v="0"/>
    <s v="Working day"/>
    <n v="3"/>
    <x v="4"/>
    <n v="3"/>
    <x v="2"/>
    <n v="0.22"/>
    <n v="22"/>
  </r>
  <r>
    <n v="582"/>
    <d v="2011-01-26T00:00:00"/>
    <n v="1"/>
    <n v="2011"/>
    <n v="1"/>
    <n v="12"/>
    <s v="Afternoon"/>
    <b v="0"/>
    <s v="Working day"/>
    <n v="3"/>
    <x v="4"/>
    <n v="3"/>
    <x v="2"/>
    <n v="0.22"/>
    <n v="22"/>
  </r>
  <r>
    <n v="583"/>
    <d v="2011-01-26T00:00:00"/>
    <n v="1"/>
    <n v="2011"/>
    <n v="1"/>
    <n v="13"/>
    <s v="Afternoon"/>
    <b v="0"/>
    <s v="Working day"/>
    <n v="3"/>
    <x v="4"/>
    <n v="3"/>
    <x v="2"/>
    <n v="0.22"/>
    <n v="22"/>
  </r>
  <r>
    <n v="584"/>
    <d v="2011-01-26T00:00:00"/>
    <n v="1"/>
    <n v="2011"/>
    <n v="1"/>
    <n v="14"/>
    <s v="Afternoon"/>
    <b v="0"/>
    <s v="Working day"/>
    <n v="3"/>
    <x v="4"/>
    <n v="3"/>
    <x v="2"/>
    <n v="0.22"/>
    <n v="22"/>
  </r>
  <r>
    <n v="585"/>
    <d v="2011-01-26T00:00:00"/>
    <n v="1"/>
    <n v="2011"/>
    <n v="1"/>
    <n v="15"/>
    <s v="Afternoon"/>
    <b v="0"/>
    <s v="Working day"/>
    <n v="3"/>
    <x v="4"/>
    <n v="3"/>
    <x v="2"/>
    <n v="0.22"/>
    <n v="22"/>
  </r>
  <r>
    <n v="586"/>
    <d v="2011-01-26T00:00:00"/>
    <n v="1"/>
    <n v="2011"/>
    <n v="1"/>
    <n v="16"/>
    <s v="Afternoon"/>
    <b v="0"/>
    <s v="Working day"/>
    <n v="3"/>
    <x v="4"/>
    <n v="4"/>
    <x v="3"/>
    <n v="0.22"/>
    <n v="22"/>
  </r>
  <r>
    <n v="587"/>
    <d v="2011-01-26T00:00:00"/>
    <n v="1"/>
    <n v="2011"/>
    <n v="1"/>
    <n v="17"/>
    <s v="Afternoon"/>
    <b v="0"/>
    <s v="Working day"/>
    <n v="3"/>
    <x v="4"/>
    <n v="3"/>
    <x v="2"/>
    <n v="0.2"/>
    <n v="20"/>
  </r>
  <r>
    <n v="588"/>
    <d v="2011-01-27T00:00:00"/>
    <n v="1"/>
    <n v="2011"/>
    <n v="1"/>
    <n v="16"/>
    <s v="Afternoon"/>
    <b v="0"/>
    <s v="Working day"/>
    <n v="4"/>
    <x v="5"/>
    <n v="1"/>
    <x v="0"/>
    <n v="0.22"/>
    <n v="22"/>
  </r>
  <r>
    <n v="589"/>
    <d v="2011-01-27T00:00:00"/>
    <n v="1"/>
    <n v="2011"/>
    <n v="1"/>
    <n v="17"/>
    <s v="Afternoon"/>
    <b v="0"/>
    <s v="Working day"/>
    <n v="4"/>
    <x v="5"/>
    <n v="1"/>
    <x v="0"/>
    <n v="0.22"/>
    <n v="22"/>
  </r>
  <r>
    <n v="590"/>
    <d v="2011-01-27T00:00:00"/>
    <n v="1"/>
    <n v="2011"/>
    <n v="1"/>
    <n v="18"/>
    <s v="Evening"/>
    <b v="0"/>
    <s v="Working day"/>
    <n v="4"/>
    <x v="5"/>
    <n v="1"/>
    <x v="0"/>
    <n v="0.2"/>
    <n v="20"/>
  </r>
  <r>
    <n v="591"/>
    <d v="2011-01-27T00:00:00"/>
    <n v="1"/>
    <n v="2011"/>
    <n v="1"/>
    <n v="19"/>
    <s v="Evening"/>
    <b v="0"/>
    <s v="Working day"/>
    <n v="4"/>
    <x v="5"/>
    <n v="1"/>
    <x v="0"/>
    <n v="0.2"/>
    <n v="20"/>
  </r>
  <r>
    <n v="592"/>
    <d v="2011-01-27T00:00:00"/>
    <n v="1"/>
    <n v="2011"/>
    <n v="1"/>
    <n v="20"/>
    <s v="Evening"/>
    <b v="0"/>
    <s v="Working day"/>
    <n v="4"/>
    <x v="5"/>
    <n v="1"/>
    <x v="0"/>
    <n v="0.18"/>
    <n v="18"/>
  </r>
  <r>
    <n v="593"/>
    <d v="2011-01-27T00:00:00"/>
    <n v="1"/>
    <n v="2011"/>
    <n v="1"/>
    <n v="21"/>
    <s v="Evening"/>
    <b v="0"/>
    <s v="Working day"/>
    <n v="4"/>
    <x v="5"/>
    <n v="1"/>
    <x v="0"/>
    <n v="0.18"/>
    <n v="18"/>
  </r>
  <r>
    <n v="594"/>
    <d v="2011-01-27T00:00:00"/>
    <n v="1"/>
    <n v="2011"/>
    <n v="1"/>
    <n v="22"/>
    <s v="Evening"/>
    <b v="0"/>
    <s v="Working day"/>
    <n v="4"/>
    <x v="5"/>
    <n v="1"/>
    <x v="0"/>
    <n v="0.18"/>
    <n v="18"/>
  </r>
  <r>
    <n v="595"/>
    <d v="2011-01-27T00:00:00"/>
    <n v="1"/>
    <n v="2011"/>
    <n v="1"/>
    <n v="23"/>
    <s v="Evening"/>
    <b v="0"/>
    <s v="Working day"/>
    <n v="4"/>
    <x v="5"/>
    <n v="1"/>
    <x v="0"/>
    <n v="0.18"/>
    <n v="18"/>
  </r>
  <r>
    <n v="596"/>
    <d v="2011-01-28T00:00:00"/>
    <n v="1"/>
    <n v="2011"/>
    <n v="1"/>
    <n v="0"/>
    <s v="Night"/>
    <b v="0"/>
    <s v="Working day"/>
    <n v="5"/>
    <x v="6"/>
    <n v="2"/>
    <x v="1"/>
    <n v="0.2"/>
    <n v="20"/>
  </r>
  <r>
    <n v="597"/>
    <d v="2011-01-28T00:00:00"/>
    <n v="1"/>
    <n v="2011"/>
    <n v="1"/>
    <n v="1"/>
    <s v="Night"/>
    <b v="0"/>
    <s v="Working day"/>
    <n v="5"/>
    <x v="6"/>
    <n v="2"/>
    <x v="1"/>
    <n v="0.2"/>
    <n v="20"/>
  </r>
  <r>
    <n v="598"/>
    <d v="2011-01-28T00:00:00"/>
    <n v="1"/>
    <n v="2011"/>
    <n v="1"/>
    <n v="2"/>
    <s v="Night"/>
    <b v="0"/>
    <s v="Working day"/>
    <n v="5"/>
    <x v="6"/>
    <n v="2"/>
    <x v="1"/>
    <n v="0.2"/>
    <n v="20"/>
  </r>
  <r>
    <n v="599"/>
    <d v="2011-01-28T00:00:00"/>
    <n v="1"/>
    <n v="2011"/>
    <n v="1"/>
    <n v="3"/>
    <s v="Night"/>
    <b v="0"/>
    <s v="Working day"/>
    <n v="5"/>
    <x v="6"/>
    <n v="2"/>
    <x v="1"/>
    <n v="0.2"/>
    <n v="20"/>
  </r>
  <r>
    <n v="600"/>
    <d v="2011-01-28T00:00:00"/>
    <n v="1"/>
    <n v="2011"/>
    <n v="1"/>
    <n v="5"/>
    <s v="Night"/>
    <b v="0"/>
    <s v="Working day"/>
    <n v="5"/>
    <x v="6"/>
    <n v="2"/>
    <x v="1"/>
    <n v="0.18"/>
    <n v="18"/>
  </r>
  <r>
    <n v="601"/>
    <d v="2011-01-28T00:00:00"/>
    <n v="1"/>
    <n v="2011"/>
    <n v="1"/>
    <n v="6"/>
    <s v="Morning"/>
    <b v="0"/>
    <s v="Working day"/>
    <n v="5"/>
    <x v="6"/>
    <n v="2"/>
    <x v="1"/>
    <n v="0.18"/>
    <n v="18"/>
  </r>
  <r>
    <n v="602"/>
    <d v="2011-01-28T00:00:00"/>
    <n v="1"/>
    <n v="2011"/>
    <n v="1"/>
    <n v="7"/>
    <s v="Morning"/>
    <b v="0"/>
    <s v="Working day"/>
    <n v="5"/>
    <x v="6"/>
    <n v="2"/>
    <x v="1"/>
    <n v="0.16"/>
    <n v="16"/>
  </r>
  <r>
    <n v="603"/>
    <d v="2011-01-28T00:00:00"/>
    <n v="1"/>
    <n v="2011"/>
    <n v="1"/>
    <n v="8"/>
    <s v="Morning"/>
    <b v="0"/>
    <s v="Working day"/>
    <n v="5"/>
    <x v="6"/>
    <n v="2"/>
    <x v="1"/>
    <n v="0.16"/>
    <n v="16"/>
  </r>
  <r>
    <n v="604"/>
    <d v="2011-01-28T00:00:00"/>
    <n v="1"/>
    <n v="2011"/>
    <n v="1"/>
    <n v="9"/>
    <s v="Morning"/>
    <b v="0"/>
    <s v="Working day"/>
    <n v="5"/>
    <x v="6"/>
    <n v="3"/>
    <x v="2"/>
    <n v="0.18"/>
    <n v="18"/>
  </r>
  <r>
    <n v="605"/>
    <d v="2011-01-28T00:00:00"/>
    <n v="1"/>
    <n v="2011"/>
    <n v="1"/>
    <n v="10"/>
    <s v="Morning"/>
    <b v="0"/>
    <s v="Working day"/>
    <n v="5"/>
    <x v="6"/>
    <n v="3"/>
    <x v="2"/>
    <n v="0.18"/>
    <n v="18"/>
  </r>
  <r>
    <n v="606"/>
    <d v="2011-01-28T00:00:00"/>
    <n v="1"/>
    <n v="2011"/>
    <n v="1"/>
    <n v="11"/>
    <s v="Morning"/>
    <b v="0"/>
    <s v="Working day"/>
    <n v="5"/>
    <x v="6"/>
    <n v="3"/>
    <x v="2"/>
    <n v="0.18"/>
    <n v="18"/>
  </r>
  <r>
    <n v="607"/>
    <d v="2011-01-28T00:00:00"/>
    <n v="1"/>
    <n v="2011"/>
    <n v="1"/>
    <n v="12"/>
    <s v="Afternoon"/>
    <b v="0"/>
    <s v="Working day"/>
    <n v="5"/>
    <x v="6"/>
    <n v="3"/>
    <x v="2"/>
    <n v="0.18"/>
    <n v="18"/>
  </r>
  <r>
    <n v="608"/>
    <d v="2011-01-28T00:00:00"/>
    <n v="1"/>
    <n v="2011"/>
    <n v="1"/>
    <n v="13"/>
    <s v="Afternoon"/>
    <b v="0"/>
    <s v="Working day"/>
    <n v="5"/>
    <x v="6"/>
    <n v="3"/>
    <x v="2"/>
    <n v="0.18"/>
    <n v="18"/>
  </r>
  <r>
    <n v="609"/>
    <d v="2011-01-28T00:00:00"/>
    <n v="1"/>
    <n v="2011"/>
    <n v="1"/>
    <n v="14"/>
    <s v="Afternoon"/>
    <b v="0"/>
    <s v="Working day"/>
    <n v="5"/>
    <x v="6"/>
    <n v="3"/>
    <x v="2"/>
    <n v="0.22"/>
    <n v="22"/>
  </r>
  <r>
    <n v="610"/>
    <d v="2011-01-28T00:00:00"/>
    <n v="1"/>
    <n v="2011"/>
    <n v="1"/>
    <n v="15"/>
    <s v="Afternoon"/>
    <b v="0"/>
    <s v="Working day"/>
    <n v="5"/>
    <x v="6"/>
    <n v="2"/>
    <x v="1"/>
    <n v="0.2"/>
    <n v="2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A57BB74-5DDD-49A1-BCFE-CD71D4B13896}" name="PivotTable3" cacheId="2"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5">
  <location ref="A3:C10" firstHeaderRow="0" firstDataRow="1" firstDataCol="1"/>
  <pivotFields count="10">
    <pivotField showAll="0"/>
    <pivotField showAll="0">
      <items count="5">
        <item x="2"/>
        <item x="3"/>
        <item x="1"/>
        <item x="0"/>
        <item t="default"/>
      </items>
    </pivotField>
    <pivotField showAll="0">
      <items count="3">
        <item x="0"/>
        <item x="1"/>
        <item t="default"/>
      </items>
    </pivotField>
    <pivotField showAll="0">
      <items count="3">
        <item x="1"/>
        <item x="0"/>
        <item t="default"/>
      </items>
    </pivotField>
    <pivotField showAll="0"/>
    <pivotField axis="axisRow" showAll="0">
      <items count="8">
        <item x="2"/>
        <item x="3"/>
        <item x="4"/>
        <item x="5"/>
        <item x="6"/>
        <item x="0"/>
        <item x="1"/>
        <item t="default"/>
      </items>
    </pivotField>
    <pivotField dataField="1" showAll="0">
      <items count="5">
        <item x="0"/>
        <item x="1"/>
        <item x="2"/>
        <item x="3"/>
        <item t="default"/>
      </items>
    </pivotField>
    <pivotField showAll="0">
      <items count="5">
        <item x="2"/>
        <item x="1"/>
        <item x="0"/>
        <item x="3"/>
        <item t="default"/>
      </items>
    </pivotField>
    <pivotField dataField="1" showAll="0">
      <items count="24">
        <item x="22"/>
        <item x="21"/>
        <item x="20"/>
        <item x="19"/>
        <item x="18"/>
        <item x="16"/>
        <item x="14"/>
        <item x="13"/>
        <item x="15"/>
        <item x="2"/>
        <item x="1"/>
        <item x="0"/>
        <item x="12"/>
        <item x="17"/>
        <item x="11"/>
        <item x="3"/>
        <item x="10"/>
        <item x="5"/>
        <item x="4"/>
        <item x="9"/>
        <item x="6"/>
        <item x="8"/>
        <item x="7"/>
        <item t="default"/>
      </items>
    </pivotField>
    <pivotField showAll="0"/>
  </pivotFields>
  <rowFields count="1">
    <field x="5"/>
  </rowFields>
  <rowItems count="7">
    <i>
      <x/>
    </i>
    <i>
      <x v="1"/>
    </i>
    <i>
      <x v="2"/>
    </i>
    <i>
      <x v="3"/>
    </i>
    <i>
      <x v="4"/>
    </i>
    <i>
      <x v="5"/>
    </i>
    <i>
      <x v="6"/>
    </i>
  </rowItems>
  <colFields count="1">
    <field x="-2"/>
  </colFields>
  <colItems count="2">
    <i>
      <x/>
    </i>
    <i i="1">
      <x v="1"/>
    </i>
  </colItems>
  <dataFields count="2">
    <dataField name="Sum of Temprature" fld="8" baseField="0" baseItem="0"/>
    <dataField name="Sum of Weat.Situ." fld="6" baseField="0" baseItem="0"/>
  </dataFields>
  <chartFormats count="4">
    <chartFormat chart="0" format="2" series="1">
      <pivotArea type="data" outline="0" fieldPosition="0">
        <references count="1">
          <reference field="4294967294" count="1" selected="0">
            <x v="0"/>
          </reference>
        </references>
      </pivotArea>
    </chartFormat>
    <chartFormat chart="0" format="6" series="1">
      <pivotArea type="data" outline="0" fieldPosition="0">
        <references count="1">
          <reference field="4294967294" count="1" selected="0">
            <x v="1"/>
          </reference>
        </references>
      </pivotArea>
    </chartFormat>
    <chartFormat chart="14" format="9" series="1">
      <pivotArea type="data" outline="0" fieldPosition="0">
        <references count="1">
          <reference field="4294967294" count="1" selected="0">
            <x v="0"/>
          </reference>
        </references>
      </pivotArea>
    </chartFormat>
    <chartFormat chart="14" format="10"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706B0B1-698E-4528-B283-FF7DEB873316}" name="PivotTable4" cacheId="2"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5">
  <location ref="A1:C5" firstHeaderRow="0" firstDataRow="1" firstDataCol="1"/>
  <pivotFields count="10">
    <pivotField dataField="1" showAll="0">
      <items count="25">
        <item x="0"/>
        <item x="1"/>
        <item x="2"/>
        <item x="3"/>
        <item x="4"/>
        <item x="5"/>
        <item x="6"/>
        <item x="7"/>
        <item x="8"/>
        <item x="9"/>
        <item x="10"/>
        <item x="11"/>
        <item x="12"/>
        <item x="13"/>
        <item x="14"/>
        <item x="15"/>
        <item x="16"/>
        <item x="17"/>
        <item x="18"/>
        <item x="19"/>
        <item x="20"/>
        <item x="21"/>
        <item x="22"/>
        <item x="23"/>
        <item t="default"/>
      </items>
    </pivotField>
    <pivotField axis="axisRow" showAll="0">
      <items count="5">
        <item x="2"/>
        <item x="3"/>
        <item x="1"/>
        <item x="0"/>
        <item t="default"/>
      </items>
    </pivotField>
    <pivotField showAll="0">
      <items count="3">
        <item x="0"/>
        <item x="1"/>
        <item t="default"/>
      </items>
    </pivotField>
    <pivotField showAll="0">
      <items count="3">
        <item h="1" x="1"/>
        <item x="0"/>
        <item t="default"/>
      </items>
    </pivotField>
    <pivotField showAll="0">
      <items count="8">
        <item x="1"/>
        <item x="2"/>
        <item x="3"/>
        <item x="4"/>
        <item x="5"/>
        <item x="6"/>
        <item x="0"/>
        <item t="default"/>
      </items>
    </pivotField>
    <pivotField showAll="0"/>
    <pivotField showAll="0">
      <items count="5">
        <item x="0"/>
        <item x="1"/>
        <item x="2"/>
        <item x="3"/>
        <item t="default"/>
      </items>
    </pivotField>
    <pivotField showAll="0">
      <items count="5">
        <item x="2"/>
        <item x="1"/>
        <item x="0"/>
        <item x="3"/>
        <item t="default"/>
      </items>
    </pivotField>
    <pivotField showAll="0">
      <items count="24">
        <item x="22"/>
        <item x="21"/>
        <item x="20"/>
        <item x="19"/>
        <item x="18"/>
        <item x="16"/>
        <item x="14"/>
        <item x="13"/>
        <item x="15"/>
        <item x="2"/>
        <item x="1"/>
        <item x="0"/>
        <item x="12"/>
        <item x="17"/>
        <item x="11"/>
        <item x="3"/>
        <item x="10"/>
        <item x="5"/>
        <item x="4"/>
        <item x="9"/>
        <item x="6"/>
        <item x="8"/>
        <item x="7"/>
        <item t="default"/>
      </items>
    </pivotField>
    <pivotField dataField="1" showAll="0"/>
  </pivotFields>
  <rowFields count="1">
    <field x="1"/>
  </rowFields>
  <rowItems count="4">
    <i>
      <x/>
    </i>
    <i>
      <x v="1"/>
    </i>
    <i>
      <x v="2"/>
    </i>
    <i>
      <x v="3"/>
    </i>
  </rowItems>
  <colFields count="1">
    <field x="-2"/>
  </colFields>
  <colItems count="2">
    <i>
      <x/>
    </i>
    <i i="1">
      <x v="1"/>
    </i>
  </colItems>
  <dataFields count="2">
    <dataField name="Sum of Hour" fld="0" baseField="0" baseItem="0"/>
    <dataField name="Sum of Tem in inte." fld="9" baseField="0" baseItem="0"/>
  </dataFields>
  <chartFormats count="16">
    <chartFormat chart="5" format="10" series="1">
      <pivotArea type="data" outline="0" fieldPosition="0">
        <references count="1">
          <reference field="4294967294" count="1" selected="0">
            <x v="0"/>
          </reference>
        </references>
      </pivotArea>
    </chartFormat>
    <chartFormat chart="5" format="13">
      <pivotArea type="data" outline="0" fieldPosition="0">
        <references count="2">
          <reference field="4294967294" count="1" selected="0">
            <x v="0"/>
          </reference>
          <reference field="1" count="1" selected="0">
            <x v="1"/>
          </reference>
        </references>
      </pivotArea>
    </chartFormat>
    <chartFormat chart="5" format="14">
      <pivotArea type="data" outline="0" fieldPosition="0">
        <references count="2">
          <reference field="4294967294" count="1" selected="0">
            <x v="0"/>
          </reference>
          <reference field="1" count="1" selected="0">
            <x v="0"/>
          </reference>
        </references>
      </pivotArea>
    </chartFormat>
    <chartFormat chart="5" format="15">
      <pivotArea type="data" outline="0" fieldPosition="0">
        <references count="2">
          <reference field="4294967294" count="1" selected="0">
            <x v="0"/>
          </reference>
          <reference field="1" count="1" selected="0">
            <x v="3"/>
          </reference>
        </references>
      </pivotArea>
    </chartFormat>
    <chartFormat chart="11" format="26" series="1">
      <pivotArea type="data" outline="0" fieldPosition="0">
        <references count="1">
          <reference field="4294967294" count="1" selected="0">
            <x v="0"/>
          </reference>
        </references>
      </pivotArea>
    </chartFormat>
    <chartFormat chart="11" format="27">
      <pivotArea type="data" outline="0" fieldPosition="0">
        <references count="2">
          <reference field="4294967294" count="1" selected="0">
            <x v="0"/>
          </reference>
          <reference field="1" count="1" selected="0">
            <x v="0"/>
          </reference>
        </references>
      </pivotArea>
    </chartFormat>
    <chartFormat chart="11" format="28">
      <pivotArea type="data" outline="0" fieldPosition="0">
        <references count="2">
          <reference field="4294967294" count="1" selected="0">
            <x v="0"/>
          </reference>
          <reference field="1" count="1" selected="0">
            <x v="1"/>
          </reference>
        </references>
      </pivotArea>
    </chartFormat>
    <chartFormat chart="11" format="29">
      <pivotArea type="data" outline="0" fieldPosition="0">
        <references count="2">
          <reference field="4294967294" count="1" selected="0">
            <x v="0"/>
          </reference>
          <reference field="1" count="1" selected="0">
            <x v="2"/>
          </reference>
        </references>
      </pivotArea>
    </chartFormat>
    <chartFormat chart="11" format="30">
      <pivotArea type="data" outline="0" fieldPosition="0">
        <references count="2">
          <reference field="4294967294" count="1" selected="0">
            <x v="0"/>
          </reference>
          <reference field="1" count="1" selected="0">
            <x v="3"/>
          </reference>
        </references>
      </pivotArea>
    </chartFormat>
    <chartFormat chart="11" format="32" series="1">
      <pivotArea type="data" outline="0" fieldPosition="0">
        <references count="1">
          <reference field="4294967294" count="1" selected="0">
            <x v="1"/>
          </reference>
        </references>
      </pivotArea>
    </chartFormat>
    <chartFormat chart="5" format="17" series="1">
      <pivotArea type="data" outline="0" fieldPosition="0">
        <references count="1">
          <reference field="4294967294" count="1" selected="0">
            <x v="1"/>
          </reference>
        </references>
      </pivotArea>
    </chartFormat>
    <chartFormat chart="5" format="23">
      <pivotArea type="data" outline="0" fieldPosition="0">
        <references count="2">
          <reference field="4294967294" count="1" selected="0">
            <x v="0"/>
          </reference>
          <reference field="1" count="1" selected="0">
            <x v="2"/>
          </reference>
        </references>
      </pivotArea>
    </chartFormat>
    <chartFormat chart="5" format="24">
      <pivotArea type="data" outline="0" fieldPosition="0">
        <references count="2">
          <reference field="4294967294" count="1" selected="0">
            <x v="1"/>
          </reference>
          <reference field="1" count="1" selected="0">
            <x v="0"/>
          </reference>
        </references>
      </pivotArea>
    </chartFormat>
    <chartFormat chart="5" format="25">
      <pivotArea type="data" outline="0" fieldPosition="0">
        <references count="2">
          <reference field="4294967294" count="1" selected="0">
            <x v="1"/>
          </reference>
          <reference field="1" count="1" selected="0">
            <x v="1"/>
          </reference>
        </references>
      </pivotArea>
    </chartFormat>
    <chartFormat chart="5" format="26">
      <pivotArea type="data" outline="0" fieldPosition="0">
        <references count="2">
          <reference field="4294967294" count="1" selected="0">
            <x v="1"/>
          </reference>
          <reference field="1" count="1" selected="0">
            <x v="2"/>
          </reference>
        </references>
      </pivotArea>
    </chartFormat>
    <chartFormat chart="5" format="27">
      <pivotArea type="data" outline="0" fieldPosition="0">
        <references count="2">
          <reference field="4294967294" count="1" selected="0">
            <x v="1"/>
          </reference>
          <reference field="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7DF1A3A-CDCB-4707-B968-ED6E1FF232C2}" name="PivotTable6"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8" firstHeaderRow="1" firstDataRow="1" firstDataCol="1"/>
  <pivotFields count="10">
    <pivotField showAll="0"/>
    <pivotField showAll="0">
      <items count="5">
        <item x="2"/>
        <item x="3"/>
        <item x="1"/>
        <item x="0"/>
        <item t="default"/>
      </items>
    </pivotField>
    <pivotField showAll="0"/>
    <pivotField showAll="0">
      <items count="3">
        <item x="1"/>
        <item x="0"/>
        <item t="default"/>
      </items>
    </pivotField>
    <pivotField showAll="0"/>
    <pivotField showAll="0"/>
    <pivotField showAll="0"/>
    <pivotField axis="axisRow" showAll="0">
      <items count="5">
        <item x="2"/>
        <item x="1"/>
        <item x="0"/>
        <item x="3"/>
        <item t="default"/>
      </items>
    </pivotField>
    <pivotField dataField="1" showAll="0">
      <items count="24">
        <item x="22"/>
        <item x="21"/>
        <item x="20"/>
        <item x="19"/>
        <item x="18"/>
        <item x="16"/>
        <item x="14"/>
        <item x="13"/>
        <item x="15"/>
        <item x="2"/>
        <item x="1"/>
        <item x="0"/>
        <item x="12"/>
        <item x="17"/>
        <item x="11"/>
        <item x="3"/>
        <item x="10"/>
        <item x="5"/>
        <item x="4"/>
        <item x="9"/>
        <item x="6"/>
        <item x="8"/>
        <item x="7"/>
        <item t="default"/>
      </items>
    </pivotField>
    <pivotField showAll="0"/>
  </pivotFields>
  <rowFields count="1">
    <field x="7"/>
  </rowFields>
  <rowItems count="5">
    <i>
      <x/>
    </i>
    <i>
      <x v="1"/>
    </i>
    <i>
      <x v="2"/>
    </i>
    <i>
      <x v="3"/>
    </i>
    <i t="grand">
      <x/>
    </i>
  </rowItems>
  <colItems count="1">
    <i/>
  </colItems>
  <dataFields count="1">
    <dataField name="Sum of Temprature" fld="8" baseField="0" baseItem="0"/>
  </dataFields>
  <chartFormats count="10">
    <chartFormat chart="0" format="0" series="1">
      <pivotArea type="data" outline="0" fieldPosition="0">
        <references count="1">
          <reference field="4294967294" count="1" selected="0">
            <x v="0"/>
          </reference>
        </references>
      </pivotArea>
    </chartFormat>
    <chartFormat chart="0" format="2">
      <pivotArea type="data" outline="0" fieldPosition="0">
        <references count="2">
          <reference field="4294967294" count="1" selected="0">
            <x v="0"/>
          </reference>
          <reference field="7" count="1" selected="0">
            <x v="0"/>
          </reference>
        </references>
      </pivotArea>
    </chartFormat>
    <chartFormat chart="0" format="3">
      <pivotArea type="data" outline="0" fieldPosition="0">
        <references count="2">
          <reference field="4294967294" count="1" selected="0">
            <x v="0"/>
          </reference>
          <reference field="7" count="1" selected="0">
            <x v="3"/>
          </reference>
        </references>
      </pivotArea>
    </chartFormat>
    <chartFormat chart="4" format="9" series="1">
      <pivotArea type="data" outline="0" fieldPosition="0">
        <references count="1">
          <reference field="4294967294" count="1" selected="0">
            <x v="0"/>
          </reference>
        </references>
      </pivotArea>
    </chartFormat>
    <chartFormat chart="4" format="10">
      <pivotArea type="data" outline="0" fieldPosition="0">
        <references count="2">
          <reference field="4294967294" count="1" selected="0">
            <x v="0"/>
          </reference>
          <reference field="7" count="1" selected="0">
            <x v="0"/>
          </reference>
        </references>
      </pivotArea>
    </chartFormat>
    <chartFormat chart="4" format="11">
      <pivotArea type="data" outline="0" fieldPosition="0">
        <references count="2">
          <reference field="4294967294" count="1" selected="0">
            <x v="0"/>
          </reference>
          <reference field="7" count="1" selected="0">
            <x v="1"/>
          </reference>
        </references>
      </pivotArea>
    </chartFormat>
    <chartFormat chart="4" format="12">
      <pivotArea type="data" outline="0" fieldPosition="0">
        <references count="2">
          <reference field="4294967294" count="1" selected="0">
            <x v="0"/>
          </reference>
          <reference field="7" count="1" selected="0">
            <x v="2"/>
          </reference>
        </references>
      </pivotArea>
    </chartFormat>
    <chartFormat chart="4" format="13">
      <pivotArea type="data" outline="0" fieldPosition="0">
        <references count="2">
          <reference field="4294967294" count="1" selected="0">
            <x v="0"/>
          </reference>
          <reference field="7" count="1" selected="0">
            <x v="3"/>
          </reference>
        </references>
      </pivotArea>
    </chartFormat>
    <chartFormat chart="0" format="6">
      <pivotArea type="data" outline="0" fieldPosition="0">
        <references count="2">
          <reference field="4294967294" count="1" selected="0">
            <x v="0"/>
          </reference>
          <reference field="7" count="1" selected="0">
            <x v="1"/>
          </reference>
        </references>
      </pivotArea>
    </chartFormat>
    <chartFormat chart="0" format="7">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7CE27C0-A408-41AE-AF2A-E851A09C0003}" name="PivotTable9"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11" firstHeaderRow="1" firstDataRow="1" firstDataCol="1"/>
  <pivotFields count="15">
    <pivotField showAll="0"/>
    <pivotField numFmtId="164" showAll="0"/>
    <pivotField showAll="0"/>
    <pivotField showAll="0"/>
    <pivotField showAll="0"/>
    <pivotField showAll="0"/>
    <pivotField showAll="0"/>
    <pivotField showAll="0"/>
    <pivotField showAll="0"/>
    <pivotField showAll="0"/>
    <pivotField axis="axisRow" showAll="0">
      <items count="8">
        <item x="2"/>
        <item x="3"/>
        <item x="4"/>
        <item x="5"/>
        <item x="6"/>
        <item x="0"/>
        <item x="1"/>
        <item t="default"/>
      </items>
    </pivotField>
    <pivotField showAll="0"/>
    <pivotField showAll="0">
      <items count="5">
        <item x="2"/>
        <item x="1"/>
        <item x="0"/>
        <item x="3"/>
        <item t="default"/>
      </items>
    </pivotField>
    <pivotField dataField="1" showAll="0"/>
    <pivotField showAll="0"/>
  </pivotFields>
  <rowFields count="1">
    <field x="10"/>
  </rowFields>
  <rowItems count="8">
    <i>
      <x/>
    </i>
    <i>
      <x v="1"/>
    </i>
    <i>
      <x v="2"/>
    </i>
    <i>
      <x v="3"/>
    </i>
    <i>
      <x v="4"/>
    </i>
    <i>
      <x v="5"/>
    </i>
    <i>
      <x v="6"/>
    </i>
    <i t="grand">
      <x/>
    </i>
  </rowItems>
  <colItems count="1">
    <i/>
  </colItems>
  <dataFields count="1">
    <dataField name="Sum of Temprature" fld="13" baseField="0" baseItem="0"/>
  </dataFields>
  <chartFormats count="3">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emprature1" xr10:uid="{8E81FE7C-30E0-4CCA-BE9D-2BAD6693DB48}" sourceName="Temprature">
  <pivotTables>
    <pivotTable tabId="15" name="PivotTable3"/>
    <pivotTable tabId="16" name="PivotTable4"/>
    <pivotTable tabId="21" name="PivotTable6"/>
  </pivotTables>
  <data>
    <tabular pivotCacheId="881454967">
      <items count="23">
        <i x="22" s="1"/>
        <i x="21" s="1"/>
        <i x="20" s="1"/>
        <i x="19" s="1"/>
        <i x="18" s="1"/>
        <i x="16" s="1"/>
        <i x="14" s="1"/>
        <i x="13" s="1"/>
        <i x="15" s="1"/>
        <i x="2" s="1"/>
        <i x="1" s="1"/>
        <i x="0" s="1"/>
        <i x="12" s="1"/>
        <i x="17" s="1"/>
        <i x="11" s="1"/>
        <i x="3" s="1"/>
        <i x="10" s="1"/>
        <i x="5" s="1"/>
        <i x="4" s="1"/>
        <i x="9" s="1"/>
        <i x="6" s="1"/>
        <i x="8" s="1"/>
        <i x="7"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ifts1" xr10:uid="{FEC5EC30-A08B-4AB7-8977-5E92A583CD09}" sourceName="Shifts">
  <pivotTables>
    <pivotTable tabId="16" name="PivotTable4"/>
  </pivotTables>
  <data>
    <tabular pivotCacheId="881454967">
      <items count="4">
        <i x="2" s="1"/>
        <i x="3"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ather_sit1" xr10:uid="{F18EBCB2-A6DC-473D-964E-F4551FCA7122}" sourceName="Weather sit">
  <pivotTables>
    <pivotTable tabId="21" name="PivotTable6"/>
  </pivotTables>
  <data>
    <tabular pivotCacheId="881454967">
      <items count="4">
        <i x="2" s="1"/>
        <i x="1" s="1"/>
        <i x="0" s="1"/>
        <i x="3"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Name_of_days" xr10:uid="{A26DE781-9CD1-478A-8A91-2E2EB00363DF}" sourceName="Name of days">
  <pivotTables>
    <pivotTable tabId="26" name="PivotTable9"/>
  </pivotTables>
  <data>
    <tabular pivotCacheId="1006301264">
      <items count="7">
        <i x="2" s="1"/>
        <i x="3" s="1"/>
        <i x="4" s="1"/>
        <i x="5" s="1"/>
        <i x="6"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emprature 1" xr10:uid="{8CF4B7FB-8FFA-4D1E-8151-9CF20E625517}" cache="Slicer_Temprature1" caption="Temprature" rowHeight="209550"/>
  <slicer name="Shifts 1" xr10:uid="{3584E357-09F0-4590-AC5D-FDD2C1FB1CAF}" cache="Slicer_Shifts1" caption="Shifts" rowHeight="209550"/>
  <slicer name="Weather sit 1" xr10:uid="{AA728D6C-0036-4AD8-B3F1-EE1C90EE7BB9}" cache="Slicer_Weather_sit1" caption="Weather sit" rowHeight="209550"/>
  <slicer name="Name of days" xr10:uid="{BB594754-F3AB-4113-908A-9DDA73438F8A}" cache="Slicer_Name_of_days" caption="Name of days" rowHeight="209550"/>
</slicer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O611"/>
  <sheetViews>
    <sheetView topLeftCell="A45" workbookViewId="0">
      <selection activeCell="K45" sqref="K45"/>
    </sheetView>
  </sheetViews>
  <sheetFormatPr defaultColWidth="12.6640625" defaultRowHeight="15.75" customHeight="1" x14ac:dyDescent="0.25"/>
  <cols>
    <col min="1" max="1" width="10" customWidth="1"/>
    <col min="2" max="2" width="15.77734375" customWidth="1"/>
    <col min="3" max="3" width="7.44140625" customWidth="1"/>
    <col min="4" max="4" width="9.5546875" customWidth="1"/>
    <col min="5" max="5" width="10.6640625" customWidth="1"/>
    <col min="6" max="6" width="12.6640625" customWidth="1"/>
    <col min="7" max="7" width="12.6640625" style="8"/>
    <col min="8" max="9" width="13" customWidth="1"/>
    <col min="10" max="10" width="12.6640625" customWidth="1"/>
    <col min="11" max="11" width="14.6640625" customWidth="1"/>
    <col min="12" max="12" width="12.109375" customWidth="1"/>
    <col min="13" max="13" width="16.6640625" customWidth="1"/>
    <col min="16" max="16" width="13.77734375" customWidth="1"/>
    <col min="17" max="17" width="15.77734375" customWidth="1"/>
  </cols>
  <sheetData>
    <row r="1" spans="1:15" s="1" customFormat="1" ht="13.8" x14ac:dyDescent="0.25">
      <c r="A1" s="2" t="s">
        <v>0</v>
      </c>
      <c r="B1" s="2" t="s">
        <v>1</v>
      </c>
      <c r="C1" s="2" t="s">
        <v>2</v>
      </c>
      <c r="D1" s="2" t="s">
        <v>3</v>
      </c>
      <c r="E1" s="2" t="s">
        <v>4</v>
      </c>
      <c r="F1" s="2" t="s">
        <v>5</v>
      </c>
      <c r="G1" s="2" t="s">
        <v>12</v>
      </c>
      <c r="H1" s="2" t="s">
        <v>6</v>
      </c>
      <c r="I1" s="2" t="s">
        <v>13</v>
      </c>
      <c r="J1" s="2" t="s">
        <v>7</v>
      </c>
      <c r="K1" s="2" t="s">
        <v>14</v>
      </c>
      <c r="L1" s="2" t="s">
        <v>16</v>
      </c>
      <c r="M1" s="2" t="s">
        <v>15</v>
      </c>
      <c r="N1" s="2" t="s">
        <v>8</v>
      </c>
      <c r="O1" s="1" t="s">
        <v>30</v>
      </c>
    </row>
    <row r="2" spans="1:15" ht="13.2" x14ac:dyDescent="0.25">
      <c r="A2" s="3">
        <v>1</v>
      </c>
      <c r="B2" s="4">
        <v>40544</v>
      </c>
      <c r="C2" s="3">
        <v>1</v>
      </c>
      <c r="D2" s="3">
        <f>YEAR(B2)</f>
        <v>2011</v>
      </c>
      <c r="E2" s="3">
        <v>1</v>
      </c>
      <c r="F2" s="3">
        <v>0</v>
      </c>
      <c r="G2" s="8" t="str">
        <f>IF(AND(F4&gt;=0,F4&lt;6),"Night",IF(AND(F4&gt;=6,F4&lt;12),"Morning",IF(AND(F4&lt;18),"Afternoon","Evening")))</f>
        <v>Night</v>
      </c>
      <c r="H2" s="3" t="b">
        <v>0</v>
      </c>
      <c r="I2" s="3" t="str">
        <f t="shared" ref="I2:I65" si="0">IF(H2=TRUE,"Holiday","Working day")</f>
        <v>Working day</v>
      </c>
      <c r="J2" s="3">
        <v>6</v>
      </c>
      <c r="K2" s="3" t="str">
        <f>CHOOSE(J2+1,"Monday","Tuesday","Wednesday","Thursday","Friday","Saturday","Sunday")</f>
        <v>Sunday</v>
      </c>
      <c r="L2" s="3">
        <v>1</v>
      </c>
      <c r="M2" s="3" t="str">
        <f>IF(L2=1,"Nice weather", IF(L2=2,"Mild Cloudy", IF(L2=3,"Dark Cloudy", IF(L2=4,"Thunderstrome","unknown"))))</f>
        <v>Nice weather</v>
      </c>
      <c r="N2" s="3">
        <v>0.24</v>
      </c>
      <c r="O2">
        <f>N2*100</f>
        <v>24</v>
      </c>
    </row>
    <row r="3" spans="1:15" ht="13.2" x14ac:dyDescent="0.25">
      <c r="A3" s="3">
        <v>2</v>
      </c>
      <c r="B3" s="4">
        <v>40544</v>
      </c>
      <c r="C3" s="3">
        <v>1</v>
      </c>
      <c r="D3" s="3">
        <f t="shared" ref="D3:D66" si="1">YEAR(B3)</f>
        <v>2011</v>
      </c>
      <c r="E3" s="3">
        <v>1</v>
      </c>
      <c r="F3" s="3">
        <v>1</v>
      </c>
      <c r="G3" s="8" t="str">
        <f t="shared" ref="G3:G4" si="2">IF(AND(F5&gt;=0,F5&lt;6),"Night",IF(AND(F5&gt;=6,F5&lt;12),"Morning",IF(AND(F5&lt;18),"Afternoon","Evening")))</f>
        <v>Night</v>
      </c>
      <c r="H3" s="3" t="b">
        <v>0</v>
      </c>
      <c r="I3" s="3" t="str">
        <f t="shared" si="0"/>
        <v>Working day</v>
      </c>
      <c r="J3" s="3">
        <v>6</v>
      </c>
      <c r="K3" s="3" t="str">
        <f t="shared" ref="K3:K66" si="3">CHOOSE(J3+1,"Monday","Tuesday","Wednesday","Thursday","Friday","Saturday","Sunday")</f>
        <v>Sunday</v>
      </c>
      <c r="L3" s="3">
        <v>1</v>
      </c>
      <c r="M3" s="3" t="str">
        <f t="shared" ref="M3:M66" si="4">IF(L3=1,"Nice weather", IF(L3=2,"Mild Cloudy", IF(L3=3,"Dark Cloudy", IF(L3=4,"Thunderstrome","unknown"))))</f>
        <v>Nice weather</v>
      </c>
      <c r="N3" s="3">
        <v>0.22</v>
      </c>
      <c r="O3">
        <f t="shared" ref="O3:O66" si="5">N3*100</f>
        <v>22</v>
      </c>
    </row>
    <row r="4" spans="1:15" ht="13.2" x14ac:dyDescent="0.25">
      <c r="A4" s="3">
        <v>3</v>
      </c>
      <c r="B4" s="4">
        <v>40544</v>
      </c>
      <c r="C4" s="3">
        <v>1</v>
      </c>
      <c r="D4" s="3">
        <f t="shared" si="1"/>
        <v>2011</v>
      </c>
      <c r="E4" s="3">
        <v>1</v>
      </c>
      <c r="F4" s="3">
        <v>2</v>
      </c>
      <c r="G4" s="8" t="str">
        <f t="shared" si="2"/>
        <v>Night</v>
      </c>
      <c r="H4" s="3" t="b">
        <v>0</v>
      </c>
      <c r="I4" s="3" t="str">
        <f t="shared" si="0"/>
        <v>Working day</v>
      </c>
      <c r="J4" s="3">
        <v>6</v>
      </c>
      <c r="K4" s="3" t="str">
        <f t="shared" si="3"/>
        <v>Sunday</v>
      </c>
      <c r="L4" s="3">
        <v>1</v>
      </c>
      <c r="M4" s="3" t="str">
        <f t="shared" si="4"/>
        <v>Nice weather</v>
      </c>
      <c r="N4" s="3">
        <v>0.22</v>
      </c>
      <c r="O4">
        <f t="shared" si="5"/>
        <v>22</v>
      </c>
    </row>
    <row r="5" spans="1:15" ht="13.2" x14ac:dyDescent="0.25">
      <c r="A5" s="3">
        <v>4</v>
      </c>
      <c r="B5" s="4">
        <v>40544</v>
      </c>
      <c r="C5" s="3">
        <v>1</v>
      </c>
      <c r="D5" s="3">
        <f t="shared" si="1"/>
        <v>2011</v>
      </c>
      <c r="E5" s="3">
        <v>1</v>
      </c>
      <c r="F5" s="3">
        <v>3</v>
      </c>
      <c r="G5" s="3" t="str">
        <f t="shared" ref="G5:G66" si="6">IF(AND(F5&gt;=0,F5&lt;6),"Night",IF(AND(F5&gt;=6,F5&lt;12),"Morning",IF(AND(F5&lt;18),"Afternoon","Evening")))</f>
        <v>Night</v>
      </c>
      <c r="H5" s="3" t="b">
        <v>0</v>
      </c>
      <c r="I5" s="3" t="str">
        <f t="shared" si="0"/>
        <v>Working day</v>
      </c>
      <c r="J5" s="3">
        <v>6</v>
      </c>
      <c r="K5" s="3" t="str">
        <f t="shared" si="3"/>
        <v>Sunday</v>
      </c>
      <c r="L5" s="3">
        <v>1</v>
      </c>
      <c r="M5" s="3" t="str">
        <f t="shared" si="4"/>
        <v>Nice weather</v>
      </c>
      <c r="N5" s="3">
        <v>0.24</v>
      </c>
      <c r="O5">
        <f t="shared" si="5"/>
        <v>24</v>
      </c>
    </row>
    <row r="6" spans="1:15" ht="13.2" x14ac:dyDescent="0.25">
      <c r="A6" s="3">
        <v>5</v>
      </c>
      <c r="B6" s="4">
        <v>40544</v>
      </c>
      <c r="C6" s="3">
        <v>1</v>
      </c>
      <c r="D6" s="3">
        <f t="shared" si="1"/>
        <v>2011</v>
      </c>
      <c r="E6" s="3">
        <v>1</v>
      </c>
      <c r="F6" s="3">
        <v>4</v>
      </c>
      <c r="G6" s="3" t="str">
        <f t="shared" si="6"/>
        <v>Night</v>
      </c>
      <c r="H6" s="3" t="b">
        <v>0</v>
      </c>
      <c r="I6" s="3" t="str">
        <f t="shared" si="0"/>
        <v>Working day</v>
      </c>
      <c r="J6" s="3">
        <v>6</v>
      </c>
      <c r="K6" s="3" t="str">
        <f t="shared" si="3"/>
        <v>Sunday</v>
      </c>
      <c r="L6" s="3">
        <v>1</v>
      </c>
      <c r="M6" s="3" t="str">
        <f t="shared" si="4"/>
        <v>Nice weather</v>
      </c>
      <c r="N6" s="3">
        <v>0.24</v>
      </c>
      <c r="O6">
        <f t="shared" si="5"/>
        <v>24</v>
      </c>
    </row>
    <row r="7" spans="1:15" ht="13.2" x14ac:dyDescent="0.25">
      <c r="A7" s="3">
        <v>6</v>
      </c>
      <c r="B7" s="4">
        <v>40544</v>
      </c>
      <c r="C7" s="3">
        <v>1</v>
      </c>
      <c r="D7" s="3">
        <f t="shared" si="1"/>
        <v>2011</v>
      </c>
      <c r="E7" s="3">
        <v>1</v>
      </c>
      <c r="F7" s="3">
        <v>5</v>
      </c>
      <c r="G7" s="3"/>
      <c r="H7" s="3" t="b">
        <v>0</v>
      </c>
      <c r="I7" s="3" t="str">
        <f t="shared" si="0"/>
        <v>Working day</v>
      </c>
      <c r="J7" s="3">
        <v>6</v>
      </c>
      <c r="K7" s="3" t="str">
        <f t="shared" si="3"/>
        <v>Sunday</v>
      </c>
      <c r="L7" s="3">
        <v>2</v>
      </c>
      <c r="M7" s="3" t="str">
        <f t="shared" si="4"/>
        <v>Mild Cloudy</v>
      </c>
      <c r="N7" s="3">
        <v>0.24</v>
      </c>
      <c r="O7">
        <f t="shared" si="5"/>
        <v>24</v>
      </c>
    </row>
    <row r="8" spans="1:15" ht="13.2" x14ac:dyDescent="0.25">
      <c r="A8" s="3">
        <v>7</v>
      </c>
      <c r="B8" s="4">
        <v>40544</v>
      </c>
      <c r="C8" s="3">
        <v>1</v>
      </c>
      <c r="D8" s="3">
        <f t="shared" si="1"/>
        <v>2011</v>
      </c>
      <c r="E8" s="3">
        <v>1</v>
      </c>
      <c r="F8" s="3">
        <v>6</v>
      </c>
      <c r="G8" s="3" t="str">
        <f t="shared" si="6"/>
        <v>Morning</v>
      </c>
      <c r="H8" s="3" t="b">
        <v>0</v>
      </c>
      <c r="I8" s="3" t="str">
        <f t="shared" si="0"/>
        <v>Working day</v>
      </c>
      <c r="J8" s="3">
        <v>6</v>
      </c>
      <c r="K8" s="3" t="str">
        <f t="shared" si="3"/>
        <v>Sunday</v>
      </c>
      <c r="L8" s="3">
        <v>1</v>
      </c>
      <c r="M8" s="3" t="str">
        <f t="shared" si="4"/>
        <v>Nice weather</v>
      </c>
      <c r="N8" s="3">
        <v>0.22</v>
      </c>
      <c r="O8">
        <f t="shared" si="5"/>
        <v>22</v>
      </c>
    </row>
    <row r="9" spans="1:15" ht="13.2" x14ac:dyDescent="0.25">
      <c r="A9" s="3">
        <v>8</v>
      </c>
      <c r="B9" s="4">
        <v>40544</v>
      </c>
      <c r="C9" s="3">
        <v>1</v>
      </c>
      <c r="D9" s="3">
        <f t="shared" si="1"/>
        <v>2011</v>
      </c>
      <c r="E9" s="3">
        <v>1</v>
      </c>
      <c r="F9" s="3">
        <v>7</v>
      </c>
      <c r="G9" s="3" t="str">
        <f t="shared" si="6"/>
        <v>Morning</v>
      </c>
      <c r="H9" s="3" t="b">
        <v>0</v>
      </c>
      <c r="I9" s="3" t="str">
        <f t="shared" si="0"/>
        <v>Working day</v>
      </c>
      <c r="J9" s="3">
        <v>6</v>
      </c>
      <c r="K9" s="3" t="str">
        <f t="shared" si="3"/>
        <v>Sunday</v>
      </c>
      <c r="L9" s="3">
        <v>1</v>
      </c>
      <c r="M9" s="3" t="str">
        <f t="shared" si="4"/>
        <v>Nice weather</v>
      </c>
      <c r="N9" s="3">
        <v>0.2</v>
      </c>
      <c r="O9">
        <f t="shared" si="5"/>
        <v>20</v>
      </c>
    </row>
    <row r="10" spans="1:15" ht="13.2" x14ac:dyDescent="0.25">
      <c r="A10" s="3">
        <v>9</v>
      </c>
      <c r="B10" s="4">
        <v>40544</v>
      </c>
      <c r="C10" s="3">
        <v>1</v>
      </c>
      <c r="D10" s="3">
        <f t="shared" si="1"/>
        <v>2011</v>
      </c>
      <c r="E10" s="3">
        <v>1</v>
      </c>
      <c r="F10" s="3">
        <v>8</v>
      </c>
      <c r="G10" s="3" t="str">
        <f t="shared" si="6"/>
        <v>Morning</v>
      </c>
      <c r="H10" s="3" t="b">
        <v>0</v>
      </c>
      <c r="I10" s="3" t="str">
        <f t="shared" si="0"/>
        <v>Working day</v>
      </c>
      <c r="J10" s="3">
        <v>6</v>
      </c>
      <c r="K10" s="3" t="str">
        <f t="shared" si="3"/>
        <v>Sunday</v>
      </c>
      <c r="L10" s="3">
        <v>1</v>
      </c>
      <c r="M10" s="3" t="str">
        <f t="shared" si="4"/>
        <v>Nice weather</v>
      </c>
      <c r="N10" s="3">
        <v>0.24</v>
      </c>
      <c r="O10">
        <f t="shared" si="5"/>
        <v>24</v>
      </c>
    </row>
    <row r="11" spans="1:15" ht="13.2" x14ac:dyDescent="0.25">
      <c r="A11" s="3">
        <v>10</v>
      </c>
      <c r="B11" s="4">
        <v>40544</v>
      </c>
      <c r="C11" s="3">
        <v>1</v>
      </c>
      <c r="D11" s="3">
        <f t="shared" si="1"/>
        <v>2011</v>
      </c>
      <c r="E11" s="3">
        <v>1</v>
      </c>
      <c r="F11" s="3">
        <v>9</v>
      </c>
      <c r="G11" s="3" t="str">
        <f t="shared" si="6"/>
        <v>Morning</v>
      </c>
      <c r="H11" s="3" t="b">
        <v>0</v>
      </c>
      <c r="I11" s="3" t="str">
        <f t="shared" si="0"/>
        <v>Working day</v>
      </c>
      <c r="J11" s="3">
        <v>6</v>
      </c>
      <c r="K11" s="3" t="str">
        <f t="shared" si="3"/>
        <v>Sunday</v>
      </c>
      <c r="L11" s="3">
        <v>1</v>
      </c>
      <c r="M11" s="3" t="str">
        <f t="shared" si="4"/>
        <v>Nice weather</v>
      </c>
      <c r="N11" s="3">
        <v>0.32</v>
      </c>
      <c r="O11">
        <f t="shared" si="5"/>
        <v>32</v>
      </c>
    </row>
    <row r="12" spans="1:15" ht="13.2" x14ac:dyDescent="0.25">
      <c r="A12" s="3">
        <v>11</v>
      </c>
      <c r="B12" s="4">
        <v>40544</v>
      </c>
      <c r="C12" s="3">
        <v>1</v>
      </c>
      <c r="D12" s="3">
        <f t="shared" si="1"/>
        <v>2011</v>
      </c>
      <c r="E12" s="3">
        <v>1</v>
      </c>
      <c r="F12" s="3">
        <v>10</v>
      </c>
      <c r="G12" s="3" t="str">
        <f t="shared" si="6"/>
        <v>Morning</v>
      </c>
      <c r="H12" s="3" t="b">
        <v>0</v>
      </c>
      <c r="I12" s="3" t="str">
        <f t="shared" si="0"/>
        <v>Working day</v>
      </c>
      <c r="J12" s="3">
        <v>6</v>
      </c>
      <c r="K12" s="3" t="str">
        <f t="shared" si="3"/>
        <v>Sunday</v>
      </c>
      <c r="L12" s="3">
        <v>1</v>
      </c>
      <c r="M12" s="3" t="str">
        <f t="shared" si="4"/>
        <v>Nice weather</v>
      </c>
      <c r="N12" s="3">
        <v>0.38</v>
      </c>
      <c r="O12">
        <f t="shared" si="5"/>
        <v>38</v>
      </c>
    </row>
    <row r="13" spans="1:15" ht="13.2" x14ac:dyDescent="0.25">
      <c r="A13" s="3">
        <v>12</v>
      </c>
      <c r="B13" s="4">
        <v>40544</v>
      </c>
      <c r="C13" s="3">
        <v>1</v>
      </c>
      <c r="D13" s="3">
        <f t="shared" si="1"/>
        <v>2011</v>
      </c>
      <c r="E13" s="3">
        <v>1</v>
      </c>
      <c r="F13" s="3">
        <v>11</v>
      </c>
      <c r="G13" s="3" t="str">
        <f t="shared" si="6"/>
        <v>Morning</v>
      </c>
      <c r="H13" s="3" t="b">
        <v>0</v>
      </c>
      <c r="I13" s="3" t="str">
        <f t="shared" si="0"/>
        <v>Working day</v>
      </c>
      <c r="J13" s="3">
        <v>6</v>
      </c>
      <c r="K13" s="3" t="str">
        <f t="shared" si="3"/>
        <v>Sunday</v>
      </c>
      <c r="L13" s="3">
        <v>1</v>
      </c>
      <c r="M13" s="3" t="str">
        <f t="shared" si="4"/>
        <v>Nice weather</v>
      </c>
      <c r="N13" s="3">
        <v>0.36</v>
      </c>
      <c r="O13">
        <f t="shared" si="5"/>
        <v>36</v>
      </c>
    </row>
    <row r="14" spans="1:15" ht="13.2" x14ac:dyDescent="0.25">
      <c r="A14" s="3">
        <v>13</v>
      </c>
      <c r="B14" s="4">
        <v>40544</v>
      </c>
      <c r="C14" s="3">
        <v>1</v>
      </c>
      <c r="D14" s="3">
        <f t="shared" si="1"/>
        <v>2011</v>
      </c>
      <c r="E14" s="3">
        <v>1</v>
      </c>
      <c r="F14" s="3">
        <v>12</v>
      </c>
      <c r="G14" s="3" t="str">
        <f t="shared" si="6"/>
        <v>Afternoon</v>
      </c>
      <c r="H14" s="3" t="b">
        <v>0</v>
      </c>
      <c r="I14" s="3" t="str">
        <f t="shared" si="0"/>
        <v>Working day</v>
      </c>
      <c r="J14" s="3">
        <v>6</v>
      </c>
      <c r="K14" s="3" t="str">
        <f t="shared" si="3"/>
        <v>Sunday</v>
      </c>
      <c r="L14" s="3">
        <v>1</v>
      </c>
      <c r="M14" s="3" t="str">
        <f t="shared" si="4"/>
        <v>Nice weather</v>
      </c>
      <c r="N14" s="3">
        <v>0.42</v>
      </c>
      <c r="O14">
        <f t="shared" si="5"/>
        <v>42</v>
      </c>
    </row>
    <row r="15" spans="1:15" ht="13.2" x14ac:dyDescent="0.25">
      <c r="A15" s="3">
        <v>14</v>
      </c>
      <c r="B15" s="4">
        <v>40544</v>
      </c>
      <c r="C15" s="3">
        <v>1</v>
      </c>
      <c r="D15" s="3">
        <f t="shared" si="1"/>
        <v>2011</v>
      </c>
      <c r="E15" s="3">
        <v>1</v>
      </c>
      <c r="F15" s="3">
        <v>13</v>
      </c>
      <c r="G15" s="3" t="str">
        <f t="shared" si="6"/>
        <v>Afternoon</v>
      </c>
      <c r="H15" s="3" t="b">
        <v>0</v>
      </c>
      <c r="I15" s="3" t="str">
        <f t="shared" si="0"/>
        <v>Working day</v>
      </c>
      <c r="J15" s="3">
        <v>6</v>
      </c>
      <c r="K15" s="3" t="str">
        <f t="shared" si="3"/>
        <v>Sunday</v>
      </c>
      <c r="L15" s="3">
        <v>2</v>
      </c>
      <c r="M15" s="3" t="str">
        <f t="shared" si="4"/>
        <v>Mild Cloudy</v>
      </c>
      <c r="N15" s="3">
        <v>0.46</v>
      </c>
      <c r="O15">
        <f t="shared" si="5"/>
        <v>46</v>
      </c>
    </row>
    <row r="16" spans="1:15" ht="13.2" x14ac:dyDescent="0.25">
      <c r="A16" s="3">
        <v>15</v>
      </c>
      <c r="B16" s="4">
        <v>40544</v>
      </c>
      <c r="C16" s="3">
        <v>1</v>
      </c>
      <c r="D16" s="3">
        <f t="shared" si="1"/>
        <v>2011</v>
      </c>
      <c r="E16" s="3">
        <v>1</v>
      </c>
      <c r="F16" s="3">
        <v>14</v>
      </c>
      <c r="G16" s="3" t="str">
        <f t="shared" si="6"/>
        <v>Afternoon</v>
      </c>
      <c r="H16" s="3" t="b">
        <v>0</v>
      </c>
      <c r="I16" s="3" t="str">
        <f t="shared" si="0"/>
        <v>Working day</v>
      </c>
      <c r="J16" s="3">
        <v>6</v>
      </c>
      <c r="K16" s="3" t="str">
        <f t="shared" si="3"/>
        <v>Sunday</v>
      </c>
      <c r="L16" s="3">
        <v>2</v>
      </c>
      <c r="M16" s="3" t="str">
        <f t="shared" si="4"/>
        <v>Mild Cloudy</v>
      </c>
      <c r="N16" s="3">
        <v>0.46</v>
      </c>
      <c r="O16">
        <f t="shared" si="5"/>
        <v>46</v>
      </c>
    </row>
    <row r="17" spans="1:15" ht="13.2" x14ac:dyDescent="0.25">
      <c r="A17" s="3">
        <v>16</v>
      </c>
      <c r="B17" s="4">
        <v>40544</v>
      </c>
      <c r="C17" s="3">
        <v>1</v>
      </c>
      <c r="D17" s="3">
        <f t="shared" si="1"/>
        <v>2011</v>
      </c>
      <c r="E17" s="3">
        <v>1</v>
      </c>
      <c r="F17" s="3">
        <v>15</v>
      </c>
      <c r="G17" s="3" t="str">
        <f t="shared" si="6"/>
        <v>Afternoon</v>
      </c>
      <c r="H17" s="3" t="b">
        <v>0</v>
      </c>
      <c r="I17" s="3" t="str">
        <f t="shared" si="0"/>
        <v>Working day</v>
      </c>
      <c r="J17" s="3">
        <v>6</v>
      </c>
      <c r="K17" s="3" t="str">
        <f t="shared" si="3"/>
        <v>Sunday</v>
      </c>
      <c r="L17" s="3">
        <v>2</v>
      </c>
      <c r="M17" s="3" t="str">
        <f t="shared" si="4"/>
        <v>Mild Cloudy</v>
      </c>
      <c r="N17" s="3">
        <v>0.44</v>
      </c>
      <c r="O17">
        <f t="shared" si="5"/>
        <v>44</v>
      </c>
    </row>
    <row r="18" spans="1:15" ht="13.2" x14ac:dyDescent="0.25">
      <c r="A18" s="3">
        <v>17</v>
      </c>
      <c r="B18" s="4">
        <v>40544</v>
      </c>
      <c r="C18" s="3">
        <v>1</v>
      </c>
      <c r="D18" s="3">
        <f t="shared" si="1"/>
        <v>2011</v>
      </c>
      <c r="E18" s="3">
        <v>1</v>
      </c>
      <c r="F18" s="3">
        <v>16</v>
      </c>
      <c r="G18" s="3" t="str">
        <f t="shared" si="6"/>
        <v>Afternoon</v>
      </c>
      <c r="H18" s="3" t="b">
        <v>0</v>
      </c>
      <c r="I18" s="3" t="str">
        <f t="shared" si="0"/>
        <v>Working day</v>
      </c>
      <c r="J18" s="3">
        <v>6</v>
      </c>
      <c r="K18" s="3" t="str">
        <f t="shared" si="3"/>
        <v>Sunday</v>
      </c>
      <c r="L18" s="3">
        <v>2</v>
      </c>
      <c r="M18" s="3" t="str">
        <f t="shared" si="4"/>
        <v>Mild Cloudy</v>
      </c>
      <c r="N18" s="3">
        <v>0.42</v>
      </c>
      <c r="O18">
        <f t="shared" si="5"/>
        <v>42</v>
      </c>
    </row>
    <row r="19" spans="1:15" ht="13.2" x14ac:dyDescent="0.25">
      <c r="A19" s="3">
        <v>18</v>
      </c>
      <c r="B19" s="4">
        <v>40544</v>
      </c>
      <c r="C19" s="3">
        <v>1</v>
      </c>
      <c r="D19" s="3">
        <f t="shared" si="1"/>
        <v>2011</v>
      </c>
      <c r="E19" s="3">
        <v>1</v>
      </c>
      <c r="F19" s="3">
        <v>17</v>
      </c>
      <c r="G19" s="3" t="str">
        <f t="shared" si="6"/>
        <v>Afternoon</v>
      </c>
      <c r="H19" s="3" t="b">
        <v>0</v>
      </c>
      <c r="I19" s="3" t="str">
        <f t="shared" si="0"/>
        <v>Working day</v>
      </c>
      <c r="J19" s="3">
        <v>6</v>
      </c>
      <c r="K19" s="3" t="str">
        <f t="shared" si="3"/>
        <v>Sunday</v>
      </c>
      <c r="L19" s="3">
        <v>2</v>
      </c>
      <c r="M19" s="3" t="str">
        <f t="shared" si="4"/>
        <v>Mild Cloudy</v>
      </c>
      <c r="N19" s="3">
        <v>0.44</v>
      </c>
      <c r="O19">
        <f t="shared" si="5"/>
        <v>44</v>
      </c>
    </row>
    <row r="20" spans="1:15" ht="13.2" x14ac:dyDescent="0.25">
      <c r="A20" s="3">
        <v>19</v>
      </c>
      <c r="B20" s="4">
        <v>40544</v>
      </c>
      <c r="C20" s="3">
        <v>1</v>
      </c>
      <c r="D20" s="3">
        <f t="shared" si="1"/>
        <v>2011</v>
      </c>
      <c r="E20" s="3">
        <v>1</v>
      </c>
      <c r="F20" s="3">
        <v>18</v>
      </c>
      <c r="G20" s="3" t="str">
        <f t="shared" si="6"/>
        <v>Evening</v>
      </c>
      <c r="H20" s="3" t="b">
        <v>0</v>
      </c>
      <c r="I20" s="3" t="str">
        <f t="shared" si="0"/>
        <v>Working day</v>
      </c>
      <c r="J20" s="3">
        <v>6</v>
      </c>
      <c r="K20" s="3" t="str">
        <f t="shared" si="3"/>
        <v>Sunday</v>
      </c>
      <c r="L20" s="3">
        <v>3</v>
      </c>
      <c r="M20" s="3" t="str">
        <f t="shared" si="4"/>
        <v>Dark Cloudy</v>
      </c>
      <c r="N20" s="3">
        <v>0.42</v>
      </c>
      <c r="O20">
        <f t="shared" si="5"/>
        <v>42</v>
      </c>
    </row>
    <row r="21" spans="1:15" ht="13.2" x14ac:dyDescent="0.25">
      <c r="A21" s="3">
        <v>20</v>
      </c>
      <c r="B21" s="4">
        <v>40544</v>
      </c>
      <c r="C21" s="3">
        <v>1</v>
      </c>
      <c r="D21" s="3">
        <f t="shared" si="1"/>
        <v>2011</v>
      </c>
      <c r="E21" s="3">
        <v>1</v>
      </c>
      <c r="F21" s="3">
        <v>19</v>
      </c>
      <c r="G21" s="3" t="str">
        <f t="shared" si="6"/>
        <v>Evening</v>
      </c>
      <c r="H21" s="3" t="b">
        <v>0</v>
      </c>
      <c r="I21" s="3" t="str">
        <f t="shared" si="0"/>
        <v>Working day</v>
      </c>
      <c r="J21" s="3">
        <v>6</v>
      </c>
      <c r="K21" s="3" t="str">
        <f t="shared" si="3"/>
        <v>Sunday</v>
      </c>
      <c r="L21" s="3">
        <v>3</v>
      </c>
      <c r="M21" s="3" t="str">
        <f t="shared" si="4"/>
        <v>Dark Cloudy</v>
      </c>
      <c r="N21" s="3">
        <v>0.42</v>
      </c>
      <c r="O21">
        <f t="shared" si="5"/>
        <v>42</v>
      </c>
    </row>
    <row r="22" spans="1:15" ht="13.2" x14ac:dyDescent="0.25">
      <c r="A22" s="3">
        <v>21</v>
      </c>
      <c r="B22" s="4">
        <v>40544</v>
      </c>
      <c r="C22" s="3">
        <v>1</v>
      </c>
      <c r="D22" s="3">
        <f t="shared" si="1"/>
        <v>2011</v>
      </c>
      <c r="E22" s="3">
        <v>1</v>
      </c>
      <c r="F22" s="3">
        <v>20</v>
      </c>
      <c r="G22" s="3" t="str">
        <f t="shared" si="6"/>
        <v>Evening</v>
      </c>
      <c r="H22" s="3" t="b">
        <v>0</v>
      </c>
      <c r="I22" s="3" t="str">
        <f t="shared" si="0"/>
        <v>Working day</v>
      </c>
      <c r="J22" s="3">
        <v>6</v>
      </c>
      <c r="K22" s="3" t="str">
        <f t="shared" si="3"/>
        <v>Sunday</v>
      </c>
      <c r="L22" s="3">
        <v>2</v>
      </c>
      <c r="M22" s="3" t="str">
        <f t="shared" si="4"/>
        <v>Mild Cloudy</v>
      </c>
      <c r="N22" s="3">
        <v>0.4</v>
      </c>
      <c r="O22">
        <f t="shared" si="5"/>
        <v>40</v>
      </c>
    </row>
    <row r="23" spans="1:15" ht="13.2" x14ac:dyDescent="0.25">
      <c r="A23" s="3">
        <v>22</v>
      </c>
      <c r="B23" s="4">
        <v>40544</v>
      </c>
      <c r="C23" s="3">
        <v>1</v>
      </c>
      <c r="D23" s="3">
        <f t="shared" si="1"/>
        <v>2011</v>
      </c>
      <c r="E23" s="3">
        <v>1</v>
      </c>
      <c r="F23" s="3">
        <v>21</v>
      </c>
      <c r="G23" s="3" t="str">
        <f t="shared" si="6"/>
        <v>Evening</v>
      </c>
      <c r="H23" s="3" t="b">
        <v>0</v>
      </c>
      <c r="I23" s="3" t="str">
        <f t="shared" si="0"/>
        <v>Working day</v>
      </c>
      <c r="J23" s="3">
        <v>6</v>
      </c>
      <c r="K23" s="3" t="str">
        <f t="shared" si="3"/>
        <v>Sunday</v>
      </c>
      <c r="L23" s="3">
        <v>2</v>
      </c>
      <c r="M23" s="3" t="str">
        <f t="shared" si="4"/>
        <v>Mild Cloudy</v>
      </c>
      <c r="N23" s="3">
        <v>0.4</v>
      </c>
      <c r="O23">
        <f t="shared" si="5"/>
        <v>40</v>
      </c>
    </row>
    <row r="24" spans="1:15" ht="13.2" x14ac:dyDescent="0.25">
      <c r="A24" s="3">
        <v>23</v>
      </c>
      <c r="B24" s="4">
        <v>40544</v>
      </c>
      <c r="C24" s="3">
        <v>1</v>
      </c>
      <c r="D24" s="3">
        <f t="shared" si="1"/>
        <v>2011</v>
      </c>
      <c r="E24" s="3">
        <v>1</v>
      </c>
      <c r="F24" s="3">
        <v>22</v>
      </c>
      <c r="G24" s="3" t="str">
        <f t="shared" si="6"/>
        <v>Evening</v>
      </c>
      <c r="H24" s="3" t="b">
        <v>0</v>
      </c>
      <c r="I24" s="3" t="str">
        <f t="shared" si="0"/>
        <v>Working day</v>
      </c>
      <c r="J24" s="3">
        <v>6</v>
      </c>
      <c r="K24" s="3" t="str">
        <f t="shared" si="3"/>
        <v>Sunday</v>
      </c>
      <c r="L24" s="3">
        <v>2</v>
      </c>
      <c r="M24" s="3" t="str">
        <f t="shared" si="4"/>
        <v>Mild Cloudy</v>
      </c>
      <c r="N24" s="3">
        <v>0.4</v>
      </c>
      <c r="O24">
        <f t="shared" si="5"/>
        <v>40</v>
      </c>
    </row>
    <row r="25" spans="1:15" ht="13.2" x14ac:dyDescent="0.25">
      <c r="A25" s="3">
        <v>24</v>
      </c>
      <c r="B25" s="4">
        <v>40544</v>
      </c>
      <c r="C25" s="3">
        <v>1</v>
      </c>
      <c r="D25" s="3">
        <f t="shared" si="1"/>
        <v>2011</v>
      </c>
      <c r="E25" s="3">
        <v>1</v>
      </c>
      <c r="F25" s="3">
        <v>23</v>
      </c>
      <c r="G25" s="3" t="str">
        <f t="shared" si="6"/>
        <v>Evening</v>
      </c>
      <c r="H25" s="3" t="b">
        <v>0</v>
      </c>
      <c r="I25" s="3" t="str">
        <f t="shared" si="0"/>
        <v>Working day</v>
      </c>
      <c r="J25" s="3">
        <v>6</v>
      </c>
      <c r="K25" s="3" t="str">
        <f t="shared" si="3"/>
        <v>Sunday</v>
      </c>
      <c r="L25" s="3">
        <v>2</v>
      </c>
      <c r="M25" s="3" t="str">
        <f t="shared" si="4"/>
        <v>Mild Cloudy</v>
      </c>
      <c r="N25" s="3">
        <v>0.46</v>
      </c>
      <c r="O25">
        <f t="shared" si="5"/>
        <v>46</v>
      </c>
    </row>
    <row r="26" spans="1:15" ht="13.2" x14ac:dyDescent="0.25">
      <c r="A26" s="3">
        <v>25</v>
      </c>
      <c r="B26" s="4">
        <v>40545</v>
      </c>
      <c r="C26" s="3">
        <v>1</v>
      </c>
      <c r="D26" s="3">
        <f t="shared" si="1"/>
        <v>2011</v>
      </c>
      <c r="E26" s="3">
        <v>1</v>
      </c>
      <c r="F26" s="3">
        <v>0</v>
      </c>
      <c r="G26" s="3" t="str">
        <f t="shared" si="6"/>
        <v>Night</v>
      </c>
      <c r="H26" s="3" t="b">
        <v>0</v>
      </c>
      <c r="I26" s="3" t="str">
        <f t="shared" si="0"/>
        <v>Working day</v>
      </c>
      <c r="J26" s="3">
        <v>0</v>
      </c>
      <c r="K26" s="3" t="str">
        <f t="shared" si="3"/>
        <v>Monday</v>
      </c>
      <c r="L26" s="3">
        <v>2</v>
      </c>
      <c r="M26" s="3" t="str">
        <f t="shared" si="4"/>
        <v>Mild Cloudy</v>
      </c>
      <c r="N26" s="3">
        <v>0.46</v>
      </c>
      <c r="O26">
        <f t="shared" si="5"/>
        <v>46</v>
      </c>
    </row>
    <row r="27" spans="1:15" ht="13.2" x14ac:dyDescent="0.25">
      <c r="A27" s="3">
        <v>26</v>
      </c>
      <c r="B27" s="4">
        <v>40545</v>
      </c>
      <c r="C27" s="3">
        <v>1</v>
      </c>
      <c r="D27" s="3">
        <f t="shared" si="1"/>
        <v>2011</v>
      </c>
      <c r="E27" s="3">
        <v>1</v>
      </c>
      <c r="F27" s="3">
        <v>1</v>
      </c>
      <c r="G27" s="3" t="str">
        <f t="shared" si="6"/>
        <v>Night</v>
      </c>
      <c r="H27" s="3" t="b">
        <v>0</v>
      </c>
      <c r="I27" s="3" t="str">
        <f t="shared" si="0"/>
        <v>Working day</v>
      </c>
      <c r="J27" s="3">
        <v>0</v>
      </c>
      <c r="K27" s="3" t="str">
        <f t="shared" si="3"/>
        <v>Monday</v>
      </c>
      <c r="L27" s="3">
        <v>2</v>
      </c>
      <c r="M27" s="3" t="str">
        <f t="shared" si="4"/>
        <v>Mild Cloudy</v>
      </c>
      <c r="N27" s="3">
        <v>0.44</v>
      </c>
      <c r="O27">
        <f t="shared" si="5"/>
        <v>44</v>
      </c>
    </row>
    <row r="28" spans="1:15" ht="13.2" x14ac:dyDescent="0.25">
      <c r="A28" s="3">
        <v>27</v>
      </c>
      <c r="B28" s="4">
        <v>40545</v>
      </c>
      <c r="C28" s="3">
        <v>1</v>
      </c>
      <c r="D28" s="3">
        <f t="shared" si="1"/>
        <v>2011</v>
      </c>
      <c r="E28" s="3">
        <v>1</v>
      </c>
      <c r="F28" s="3">
        <v>2</v>
      </c>
      <c r="G28" s="3" t="str">
        <f t="shared" si="6"/>
        <v>Night</v>
      </c>
      <c r="H28" s="3" t="b">
        <v>0</v>
      </c>
      <c r="I28" s="3" t="str">
        <f t="shared" si="0"/>
        <v>Working day</v>
      </c>
      <c r="J28" s="3">
        <v>0</v>
      </c>
      <c r="K28" s="3" t="str">
        <f t="shared" si="3"/>
        <v>Monday</v>
      </c>
      <c r="L28" s="3">
        <v>2</v>
      </c>
      <c r="M28" s="3" t="str">
        <f t="shared" si="4"/>
        <v>Mild Cloudy</v>
      </c>
      <c r="N28" s="3">
        <v>0.42</v>
      </c>
      <c r="O28">
        <f t="shared" si="5"/>
        <v>42</v>
      </c>
    </row>
    <row r="29" spans="1:15" ht="13.2" x14ac:dyDescent="0.25">
      <c r="A29" s="3">
        <v>28</v>
      </c>
      <c r="B29" s="4">
        <v>40545</v>
      </c>
      <c r="C29" s="3">
        <v>1</v>
      </c>
      <c r="D29" s="3">
        <f t="shared" si="1"/>
        <v>2011</v>
      </c>
      <c r="E29" s="3">
        <v>1</v>
      </c>
      <c r="F29" s="3">
        <v>3</v>
      </c>
      <c r="G29" s="3" t="str">
        <f t="shared" si="6"/>
        <v>Night</v>
      </c>
      <c r="H29" s="3" t="b">
        <v>0</v>
      </c>
      <c r="I29" s="3" t="str">
        <f t="shared" si="0"/>
        <v>Working day</v>
      </c>
      <c r="J29" s="3">
        <v>0</v>
      </c>
      <c r="K29" s="3" t="str">
        <f t="shared" si="3"/>
        <v>Monday</v>
      </c>
      <c r="L29" s="3">
        <v>2</v>
      </c>
      <c r="M29" s="3" t="str">
        <f t="shared" si="4"/>
        <v>Mild Cloudy</v>
      </c>
      <c r="N29" s="3">
        <v>0.46</v>
      </c>
      <c r="O29">
        <f t="shared" si="5"/>
        <v>46</v>
      </c>
    </row>
    <row r="30" spans="1:15" ht="13.2" x14ac:dyDescent="0.25">
      <c r="A30" s="3">
        <v>29</v>
      </c>
      <c r="B30" s="4">
        <v>40545</v>
      </c>
      <c r="C30" s="3">
        <v>1</v>
      </c>
      <c r="D30" s="3">
        <f t="shared" si="1"/>
        <v>2011</v>
      </c>
      <c r="E30" s="3">
        <v>1</v>
      </c>
      <c r="F30" s="3">
        <v>4</v>
      </c>
      <c r="G30" s="3" t="str">
        <f t="shared" si="6"/>
        <v>Night</v>
      </c>
      <c r="H30" s="3" t="b">
        <v>0</v>
      </c>
      <c r="I30" s="3" t="str">
        <f t="shared" si="0"/>
        <v>Working day</v>
      </c>
      <c r="J30" s="3">
        <v>0</v>
      </c>
      <c r="K30" s="3" t="str">
        <f t="shared" si="3"/>
        <v>Monday</v>
      </c>
      <c r="L30" s="3">
        <v>2</v>
      </c>
      <c r="M30" s="3" t="str">
        <f t="shared" si="4"/>
        <v>Mild Cloudy</v>
      </c>
      <c r="N30" s="3">
        <v>0.46</v>
      </c>
      <c r="O30">
        <f t="shared" si="5"/>
        <v>46</v>
      </c>
    </row>
    <row r="31" spans="1:15" ht="13.2" x14ac:dyDescent="0.25">
      <c r="A31" s="3">
        <v>30</v>
      </c>
      <c r="B31" s="4">
        <v>40545</v>
      </c>
      <c r="C31" s="3">
        <v>1</v>
      </c>
      <c r="D31" s="3">
        <f t="shared" si="1"/>
        <v>2011</v>
      </c>
      <c r="E31" s="3">
        <v>1</v>
      </c>
      <c r="F31" s="3">
        <v>6</v>
      </c>
      <c r="G31" s="3" t="str">
        <f t="shared" si="6"/>
        <v>Morning</v>
      </c>
      <c r="H31" s="3" t="b">
        <v>0</v>
      </c>
      <c r="I31" s="3" t="str">
        <f t="shared" si="0"/>
        <v>Working day</v>
      </c>
      <c r="J31" s="3">
        <v>0</v>
      </c>
      <c r="K31" s="3" t="str">
        <f t="shared" si="3"/>
        <v>Monday</v>
      </c>
      <c r="L31" s="3">
        <v>3</v>
      </c>
      <c r="M31" s="3" t="str">
        <f t="shared" si="4"/>
        <v>Dark Cloudy</v>
      </c>
      <c r="N31" s="3">
        <v>0.42</v>
      </c>
      <c r="O31">
        <f t="shared" si="5"/>
        <v>42</v>
      </c>
    </row>
    <row r="32" spans="1:15" ht="13.2" x14ac:dyDescent="0.25">
      <c r="A32" s="3">
        <v>31</v>
      </c>
      <c r="B32" s="4">
        <v>40545</v>
      </c>
      <c r="C32" s="3">
        <v>1</v>
      </c>
      <c r="D32" s="3">
        <f t="shared" si="1"/>
        <v>2011</v>
      </c>
      <c r="E32" s="3">
        <v>1</v>
      </c>
      <c r="F32" s="3">
        <v>7</v>
      </c>
      <c r="G32" s="3" t="str">
        <f t="shared" si="6"/>
        <v>Morning</v>
      </c>
      <c r="H32" s="3" t="b">
        <v>0</v>
      </c>
      <c r="I32" s="3" t="str">
        <f t="shared" si="0"/>
        <v>Working day</v>
      </c>
      <c r="J32" s="3">
        <v>0</v>
      </c>
      <c r="K32" s="3" t="str">
        <f t="shared" si="3"/>
        <v>Monday</v>
      </c>
      <c r="L32" s="3">
        <v>2</v>
      </c>
      <c r="M32" s="3" t="str">
        <f t="shared" si="4"/>
        <v>Mild Cloudy</v>
      </c>
      <c r="N32" s="3">
        <v>0.4</v>
      </c>
      <c r="O32">
        <f>N32*100</f>
        <v>40</v>
      </c>
    </row>
    <row r="33" spans="1:15" ht="13.2" x14ac:dyDescent="0.25">
      <c r="A33" s="3">
        <v>32</v>
      </c>
      <c r="B33" s="4">
        <v>40545</v>
      </c>
      <c r="C33" s="3">
        <v>1</v>
      </c>
      <c r="D33" s="3">
        <f t="shared" si="1"/>
        <v>2011</v>
      </c>
      <c r="E33" s="3">
        <v>1</v>
      </c>
      <c r="F33" s="3">
        <v>8</v>
      </c>
      <c r="G33" s="3" t="str">
        <f t="shared" si="6"/>
        <v>Morning</v>
      </c>
      <c r="H33" s="3" t="b">
        <v>0</v>
      </c>
      <c r="I33" s="3" t="str">
        <f t="shared" si="0"/>
        <v>Working day</v>
      </c>
      <c r="J33" s="3">
        <v>0</v>
      </c>
      <c r="K33" s="3" t="str">
        <f t="shared" si="3"/>
        <v>Monday</v>
      </c>
      <c r="L33" s="3">
        <v>3</v>
      </c>
      <c r="M33" s="3" t="str">
        <f t="shared" si="4"/>
        <v>Dark Cloudy</v>
      </c>
      <c r="N33" s="3">
        <v>0.4</v>
      </c>
      <c r="O33">
        <f t="shared" si="5"/>
        <v>40</v>
      </c>
    </row>
    <row r="34" spans="1:15" ht="13.2" x14ac:dyDescent="0.25">
      <c r="A34" s="3">
        <v>33</v>
      </c>
      <c r="B34" s="4">
        <v>40545</v>
      </c>
      <c r="C34" s="3">
        <v>1</v>
      </c>
      <c r="D34" s="3">
        <f t="shared" si="1"/>
        <v>2011</v>
      </c>
      <c r="E34" s="3">
        <v>1</v>
      </c>
      <c r="F34" s="3">
        <v>9</v>
      </c>
      <c r="G34" s="3" t="str">
        <f t="shared" si="6"/>
        <v>Morning</v>
      </c>
      <c r="H34" s="3" t="b">
        <v>0</v>
      </c>
      <c r="I34" s="3" t="str">
        <f t="shared" si="0"/>
        <v>Working day</v>
      </c>
      <c r="J34" s="3">
        <v>0</v>
      </c>
      <c r="K34" s="3" t="str">
        <f t="shared" si="3"/>
        <v>Monday</v>
      </c>
      <c r="L34" s="3">
        <v>2</v>
      </c>
      <c r="M34" s="3" t="str">
        <f t="shared" si="4"/>
        <v>Mild Cloudy</v>
      </c>
      <c r="N34" s="3">
        <v>0.38</v>
      </c>
      <c r="O34">
        <f t="shared" si="5"/>
        <v>38</v>
      </c>
    </row>
    <row r="35" spans="1:15" ht="13.2" x14ac:dyDescent="0.25">
      <c r="A35" s="3">
        <v>34</v>
      </c>
      <c r="B35" s="4">
        <v>40545</v>
      </c>
      <c r="C35" s="3">
        <v>1</v>
      </c>
      <c r="D35" s="3">
        <f t="shared" si="1"/>
        <v>2011</v>
      </c>
      <c r="E35" s="3">
        <v>1</v>
      </c>
      <c r="F35" s="3">
        <v>10</v>
      </c>
      <c r="G35" s="3" t="str">
        <f t="shared" si="6"/>
        <v>Morning</v>
      </c>
      <c r="H35" s="3" t="b">
        <v>0</v>
      </c>
      <c r="I35" s="3" t="str">
        <f t="shared" si="0"/>
        <v>Working day</v>
      </c>
      <c r="J35" s="3">
        <v>0</v>
      </c>
      <c r="K35" s="3" t="str">
        <f t="shared" si="3"/>
        <v>Monday</v>
      </c>
      <c r="L35" s="3">
        <v>2</v>
      </c>
      <c r="M35" s="3" t="str">
        <f t="shared" si="4"/>
        <v>Mild Cloudy</v>
      </c>
      <c r="N35" s="3">
        <v>0.36</v>
      </c>
      <c r="O35">
        <f t="shared" si="5"/>
        <v>36</v>
      </c>
    </row>
    <row r="36" spans="1:15" ht="13.2" x14ac:dyDescent="0.25">
      <c r="A36" s="3">
        <v>35</v>
      </c>
      <c r="B36" s="4">
        <v>40545</v>
      </c>
      <c r="C36" s="3">
        <v>1</v>
      </c>
      <c r="D36" s="3">
        <f t="shared" si="1"/>
        <v>2011</v>
      </c>
      <c r="E36" s="3">
        <v>1</v>
      </c>
      <c r="F36" s="3">
        <v>11</v>
      </c>
      <c r="G36" s="3" t="str">
        <f t="shared" si="6"/>
        <v>Morning</v>
      </c>
      <c r="H36" s="3" t="b">
        <v>0</v>
      </c>
      <c r="I36" s="3" t="str">
        <f t="shared" si="0"/>
        <v>Working day</v>
      </c>
      <c r="J36" s="3">
        <v>0</v>
      </c>
      <c r="K36" s="3" t="str">
        <f t="shared" si="3"/>
        <v>Monday</v>
      </c>
      <c r="L36" s="3">
        <v>2</v>
      </c>
      <c r="M36" s="3" t="str">
        <f t="shared" si="4"/>
        <v>Mild Cloudy</v>
      </c>
      <c r="N36" s="3">
        <v>0.36</v>
      </c>
      <c r="O36">
        <f t="shared" si="5"/>
        <v>36</v>
      </c>
    </row>
    <row r="37" spans="1:15" ht="13.2" x14ac:dyDescent="0.25">
      <c r="A37" s="3">
        <v>36</v>
      </c>
      <c r="B37" s="4">
        <v>40545</v>
      </c>
      <c r="C37" s="3">
        <v>1</v>
      </c>
      <c r="D37" s="3">
        <f t="shared" si="1"/>
        <v>2011</v>
      </c>
      <c r="E37" s="3">
        <v>1</v>
      </c>
      <c r="F37" s="3">
        <v>12</v>
      </c>
      <c r="G37" s="3" t="str">
        <f t="shared" si="6"/>
        <v>Afternoon</v>
      </c>
      <c r="H37" s="3" t="b">
        <v>0</v>
      </c>
      <c r="I37" s="3" t="str">
        <f t="shared" si="0"/>
        <v>Working day</v>
      </c>
      <c r="J37" s="3">
        <v>0</v>
      </c>
      <c r="K37" s="3" t="str">
        <f t="shared" si="3"/>
        <v>Monday</v>
      </c>
      <c r="L37" s="3">
        <v>2</v>
      </c>
      <c r="M37" s="3" t="str">
        <f t="shared" si="4"/>
        <v>Mild Cloudy</v>
      </c>
      <c r="N37" s="3">
        <v>0.36</v>
      </c>
      <c r="O37">
        <f t="shared" si="5"/>
        <v>36</v>
      </c>
    </row>
    <row r="38" spans="1:15" ht="13.2" x14ac:dyDescent="0.25">
      <c r="A38" s="3">
        <v>37</v>
      </c>
      <c r="B38" s="4">
        <v>40545</v>
      </c>
      <c r="C38" s="3">
        <v>1</v>
      </c>
      <c r="D38" s="3">
        <f t="shared" si="1"/>
        <v>2011</v>
      </c>
      <c r="E38" s="3">
        <v>1</v>
      </c>
      <c r="F38" s="3">
        <v>13</v>
      </c>
      <c r="G38" s="3" t="str">
        <f t="shared" si="6"/>
        <v>Afternoon</v>
      </c>
      <c r="H38" s="3" t="b">
        <v>0</v>
      </c>
      <c r="I38" s="3" t="str">
        <f t="shared" si="0"/>
        <v>Working day</v>
      </c>
      <c r="J38" s="3">
        <v>0</v>
      </c>
      <c r="K38" s="3" t="str">
        <f t="shared" si="3"/>
        <v>Monday</v>
      </c>
      <c r="L38" s="3">
        <v>2</v>
      </c>
      <c r="M38" s="3" t="str">
        <f t="shared" si="4"/>
        <v>Mild Cloudy</v>
      </c>
      <c r="N38" s="3">
        <v>0.36</v>
      </c>
      <c r="O38">
        <f t="shared" si="5"/>
        <v>36</v>
      </c>
    </row>
    <row r="39" spans="1:15" ht="13.2" x14ac:dyDescent="0.25">
      <c r="A39" s="3">
        <v>38</v>
      </c>
      <c r="B39" s="4">
        <v>40545</v>
      </c>
      <c r="C39" s="3">
        <v>1</v>
      </c>
      <c r="D39" s="3">
        <f t="shared" si="1"/>
        <v>2011</v>
      </c>
      <c r="E39" s="3">
        <v>1</v>
      </c>
      <c r="F39" s="3">
        <v>14</v>
      </c>
      <c r="G39" s="3" t="str">
        <f t="shared" si="6"/>
        <v>Afternoon</v>
      </c>
      <c r="H39" s="3" t="b">
        <v>0</v>
      </c>
      <c r="I39" s="3" t="str">
        <f t="shared" si="0"/>
        <v>Working day</v>
      </c>
      <c r="J39" s="3">
        <v>0</v>
      </c>
      <c r="K39" s="3" t="str">
        <f t="shared" si="3"/>
        <v>Monday</v>
      </c>
      <c r="L39" s="3">
        <v>3</v>
      </c>
      <c r="M39" s="3" t="str">
        <f t="shared" si="4"/>
        <v>Dark Cloudy</v>
      </c>
      <c r="N39" s="3">
        <v>0.36</v>
      </c>
      <c r="O39">
        <f t="shared" si="5"/>
        <v>36</v>
      </c>
    </row>
    <row r="40" spans="1:15" ht="13.2" x14ac:dyDescent="0.25">
      <c r="A40" s="3">
        <v>39</v>
      </c>
      <c r="B40" s="4">
        <v>40545</v>
      </c>
      <c r="C40" s="3">
        <v>1</v>
      </c>
      <c r="D40" s="3">
        <f t="shared" si="1"/>
        <v>2011</v>
      </c>
      <c r="E40" s="3">
        <v>1</v>
      </c>
      <c r="F40" s="3">
        <v>15</v>
      </c>
      <c r="G40" s="3" t="str">
        <f t="shared" si="6"/>
        <v>Afternoon</v>
      </c>
      <c r="H40" s="3" t="b">
        <v>0</v>
      </c>
      <c r="I40" s="3" t="str">
        <f t="shared" si="0"/>
        <v>Working day</v>
      </c>
      <c r="J40" s="3">
        <v>0</v>
      </c>
      <c r="K40" s="3" t="str">
        <f t="shared" si="3"/>
        <v>Monday</v>
      </c>
      <c r="L40" s="3">
        <v>3</v>
      </c>
      <c r="M40" s="3" t="str">
        <f t="shared" si="4"/>
        <v>Dark Cloudy</v>
      </c>
      <c r="N40" s="3">
        <v>0.34</v>
      </c>
      <c r="O40">
        <f t="shared" si="5"/>
        <v>34</v>
      </c>
    </row>
    <row r="41" spans="1:15" ht="13.2" x14ac:dyDescent="0.25">
      <c r="A41" s="3">
        <v>40</v>
      </c>
      <c r="B41" s="4">
        <v>40545</v>
      </c>
      <c r="C41" s="3">
        <v>1</v>
      </c>
      <c r="D41" s="3">
        <f t="shared" si="1"/>
        <v>2011</v>
      </c>
      <c r="E41" s="3">
        <v>1</v>
      </c>
      <c r="F41" s="3">
        <v>16</v>
      </c>
      <c r="G41" s="3" t="str">
        <f t="shared" si="6"/>
        <v>Afternoon</v>
      </c>
      <c r="H41" s="3" t="b">
        <v>0</v>
      </c>
      <c r="I41" s="3" t="str">
        <f t="shared" si="0"/>
        <v>Working day</v>
      </c>
      <c r="J41" s="3">
        <v>0</v>
      </c>
      <c r="K41" s="3" t="str">
        <f t="shared" si="3"/>
        <v>Monday</v>
      </c>
      <c r="L41" s="3">
        <v>3</v>
      </c>
      <c r="M41" s="3" t="str">
        <f t="shared" si="4"/>
        <v>Dark Cloudy</v>
      </c>
      <c r="N41" s="3">
        <v>0.34</v>
      </c>
      <c r="O41">
        <f t="shared" si="5"/>
        <v>34</v>
      </c>
    </row>
    <row r="42" spans="1:15" ht="13.2" x14ac:dyDescent="0.25">
      <c r="A42" s="3">
        <v>41</v>
      </c>
      <c r="B42" s="4">
        <v>40545</v>
      </c>
      <c r="C42" s="3">
        <v>1</v>
      </c>
      <c r="D42" s="3">
        <f t="shared" si="1"/>
        <v>2011</v>
      </c>
      <c r="E42" s="3">
        <v>1</v>
      </c>
      <c r="F42" s="3">
        <v>17</v>
      </c>
      <c r="G42" s="3" t="str">
        <f t="shared" si="6"/>
        <v>Afternoon</v>
      </c>
      <c r="H42" s="3" t="b">
        <v>0</v>
      </c>
      <c r="I42" s="3" t="str">
        <f t="shared" si="0"/>
        <v>Working day</v>
      </c>
      <c r="J42" s="3">
        <v>0</v>
      </c>
      <c r="K42" s="3" t="str">
        <f t="shared" si="3"/>
        <v>Monday</v>
      </c>
      <c r="L42" s="3">
        <v>1</v>
      </c>
      <c r="M42" s="3" t="str">
        <f t="shared" si="4"/>
        <v>Nice weather</v>
      </c>
      <c r="N42" s="3">
        <v>0.34</v>
      </c>
      <c r="O42">
        <f t="shared" si="5"/>
        <v>34</v>
      </c>
    </row>
    <row r="43" spans="1:15" ht="13.2" x14ac:dyDescent="0.25">
      <c r="A43" s="3">
        <v>42</v>
      </c>
      <c r="B43" s="4">
        <v>40545</v>
      </c>
      <c r="C43" s="3">
        <v>1</v>
      </c>
      <c r="D43" s="3">
        <f t="shared" si="1"/>
        <v>2011</v>
      </c>
      <c r="E43" s="3">
        <v>1</v>
      </c>
      <c r="F43" s="3">
        <v>18</v>
      </c>
      <c r="G43" s="3" t="str">
        <f t="shared" si="6"/>
        <v>Evening</v>
      </c>
      <c r="H43" s="3" t="b">
        <v>0</v>
      </c>
      <c r="I43" s="3" t="str">
        <f t="shared" si="0"/>
        <v>Working day</v>
      </c>
      <c r="J43" s="3">
        <v>0</v>
      </c>
      <c r="K43" s="3" t="str">
        <f t="shared" si="3"/>
        <v>Monday</v>
      </c>
      <c r="L43" s="3">
        <v>2</v>
      </c>
      <c r="M43" s="3" t="str">
        <f t="shared" si="4"/>
        <v>Mild Cloudy</v>
      </c>
      <c r="N43" s="3">
        <v>0.36</v>
      </c>
      <c r="O43">
        <f t="shared" si="5"/>
        <v>36</v>
      </c>
    </row>
    <row r="44" spans="1:15" ht="13.2" x14ac:dyDescent="0.25">
      <c r="A44" s="3">
        <v>43</v>
      </c>
      <c r="B44" s="4">
        <v>40545</v>
      </c>
      <c r="C44" s="3">
        <v>1</v>
      </c>
      <c r="D44" s="3">
        <f t="shared" si="1"/>
        <v>2011</v>
      </c>
      <c r="E44" s="3">
        <v>1</v>
      </c>
      <c r="F44" s="3">
        <v>19</v>
      </c>
      <c r="G44" s="3" t="str">
        <f t="shared" si="6"/>
        <v>Evening</v>
      </c>
      <c r="H44" s="3" t="b">
        <v>0</v>
      </c>
      <c r="I44" s="3" t="str">
        <f t="shared" si="0"/>
        <v>Working day</v>
      </c>
      <c r="J44" s="3">
        <v>0</v>
      </c>
      <c r="K44" s="3" t="str">
        <f t="shared" si="3"/>
        <v>Monday</v>
      </c>
      <c r="L44" s="3">
        <v>1</v>
      </c>
      <c r="M44" s="3" t="str">
        <f t="shared" si="4"/>
        <v>Nice weather</v>
      </c>
      <c r="N44" s="3">
        <v>0.32</v>
      </c>
      <c r="O44">
        <f t="shared" si="5"/>
        <v>32</v>
      </c>
    </row>
    <row r="45" spans="1:15" ht="13.2" x14ac:dyDescent="0.25">
      <c r="A45" s="3">
        <v>44</v>
      </c>
      <c r="B45" s="4">
        <v>40545</v>
      </c>
      <c r="C45" s="3">
        <v>1</v>
      </c>
      <c r="D45" s="3">
        <f t="shared" si="1"/>
        <v>2011</v>
      </c>
      <c r="E45" s="3">
        <v>1</v>
      </c>
      <c r="F45" s="3">
        <v>20</v>
      </c>
      <c r="G45" s="3" t="str">
        <f t="shared" si="6"/>
        <v>Evening</v>
      </c>
      <c r="H45" s="3" t="b">
        <v>0</v>
      </c>
      <c r="I45" s="3" t="str">
        <f t="shared" si="0"/>
        <v>Working day</v>
      </c>
      <c r="J45" s="3">
        <v>0</v>
      </c>
      <c r="K45" s="3" t="str">
        <f t="shared" si="3"/>
        <v>Monday</v>
      </c>
      <c r="L45" s="3">
        <v>1</v>
      </c>
      <c r="M45" s="3" t="str">
        <f t="shared" si="4"/>
        <v>Nice weather</v>
      </c>
      <c r="N45" s="3">
        <v>0.3</v>
      </c>
      <c r="O45">
        <f t="shared" si="5"/>
        <v>30</v>
      </c>
    </row>
    <row r="46" spans="1:15" ht="13.2" x14ac:dyDescent="0.25">
      <c r="A46" s="3">
        <v>45</v>
      </c>
      <c r="B46" s="4">
        <v>40545</v>
      </c>
      <c r="C46" s="3">
        <v>1</v>
      </c>
      <c r="D46" s="3">
        <f t="shared" si="1"/>
        <v>2011</v>
      </c>
      <c r="E46" s="3">
        <v>1</v>
      </c>
      <c r="F46" s="3">
        <v>21</v>
      </c>
      <c r="G46" s="3" t="str">
        <f t="shared" si="6"/>
        <v>Evening</v>
      </c>
      <c r="H46" s="3" t="b">
        <v>0</v>
      </c>
      <c r="I46" s="3" t="str">
        <f t="shared" si="0"/>
        <v>Working day</v>
      </c>
      <c r="J46" s="3">
        <v>0</v>
      </c>
      <c r="K46" s="3" t="str">
        <f t="shared" si="3"/>
        <v>Monday</v>
      </c>
      <c r="L46" s="3">
        <v>1</v>
      </c>
      <c r="M46" s="3" t="str">
        <f t="shared" si="4"/>
        <v>Nice weather</v>
      </c>
      <c r="N46" s="3">
        <v>0.26</v>
      </c>
      <c r="O46">
        <f t="shared" si="5"/>
        <v>26</v>
      </c>
    </row>
    <row r="47" spans="1:15" ht="13.2" x14ac:dyDescent="0.25">
      <c r="A47" s="3">
        <v>46</v>
      </c>
      <c r="B47" s="4">
        <v>40545</v>
      </c>
      <c r="C47" s="3">
        <v>1</v>
      </c>
      <c r="D47" s="3">
        <f t="shared" si="1"/>
        <v>2011</v>
      </c>
      <c r="E47" s="3">
        <v>1</v>
      </c>
      <c r="F47" s="3">
        <v>22</v>
      </c>
      <c r="G47" s="3" t="str">
        <f t="shared" si="6"/>
        <v>Evening</v>
      </c>
      <c r="H47" s="3" t="b">
        <v>0</v>
      </c>
      <c r="I47" s="3" t="str">
        <f t="shared" si="0"/>
        <v>Working day</v>
      </c>
      <c r="J47" s="3">
        <v>0</v>
      </c>
      <c r="K47" s="3" t="str">
        <f t="shared" si="3"/>
        <v>Monday</v>
      </c>
      <c r="L47" s="3">
        <v>1</v>
      </c>
      <c r="M47" s="3" t="str">
        <f t="shared" si="4"/>
        <v>Nice weather</v>
      </c>
      <c r="N47" s="3">
        <v>0.24</v>
      </c>
      <c r="O47">
        <f t="shared" si="5"/>
        <v>24</v>
      </c>
    </row>
    <row r="48" spans="1:15" ht="13.2" x14ac:dyDescent="0.25">
      <c r="A48" s="3">
        <v>47</v>
      </c>
      <c r="B48" s="4">
        <v>40545</v>
      </c>
      <c r="C48" s="3">
        <v>1</v>
      </c>
      <c r="D48" s="3">
        <f t="shared" si="1"/>
        <v>2011</v>
      </c>
      <c r="E48" s="3">
        <v>1</v>
      </c>
      <c r="F48" s="3">
        <v>23</v>
      </c>
      <c r="G48" s="3" t="str">
        <f t="shared" si="6"/>
        <v>Evening</v>
      </c>
      <c r="H48" s="3" t="b">
        <v>0</v>
      </c>
      <c r="I48" s="3" t="str">
        <f t="shared" si="0"/>
        <v>Working day</v>
      </c>
      <c r="J48" s="3">
        <v>0</v>
      </c>
      <c r="K48" s="3" t="str">
        <f t="shared" si="3"/>
        <v>Monday</v>
      </c>
      <c r="L48" s="3">
        <v>1</v>
      </c>
      <c r="M48" s="3" t="str">
        <f t="shared" si="4"/>
        <v>Nice weather</v>
      </c>
      <c r="N48" s="3">
        <v>0.22</v>
      </c>
      <c r="O48">
        <f t="shared" si="5"/>
        <v>22</v>
      </c>
    </row>
    <row r="49" spans="1:15" ht="13.2" x14ac:dyDescent="0.25">
      <c r="A49" s="3">
        <v>48</v>
      </c>
      <c r="B49" s="4">
        <v>40546</v>
      </c>
      <c r="C49" s="3">
        <v>1</v>
      </c>
      <c r="D49" s="3">
        <f t="shared" si="1"/>
        <v>2011</v>
      </c>
      <c r="E49" s="3">
        <v>1</v>
      </c>
      <c r="F49" s="3">
        <v>0</v>
      </c>
      <c r="G49" s="3" t="str">
        <f t="shared" si="6"/>
        <v>Night</v>
      </c>
      <c r="H49" s="3" t="b">
        <v>0</v>
      </c>
      <c r="I49" s="3" t="str">
        <f t="shared" si="0"/>
        <v>Working day</v>
      </c>
      <c r="J49" s="3">
        <v>1</v>
      </c>
      <c r="K49" s="3" t="str">
        <f t="shared" si="3"/>
        <v>Tuesday</v>
      </c>
      <c r="L49" s="3">
        <v>1</v>
      </c>
      <c r="M49" s="3" t="str">
        <f t="shared" si="4"/>
        <v>Nice weather</v>
      </c>
      <c r="N49" s="3">
        <v>0.22</v>
      </c>
      <c r="O49">
        <f t="shared" si="5"/>
        <v>22</v>
      </c>
    </row>
    <row r="50" spans="1:15" ht="13.2" x14ac:dyDescent="0.25">
      <c r="A50" s="3">
        <v>49</v>
      </c>
      <c r="B50" s="4">
        <v>40546</v>
      </c>
      <c r="C50" s="3">
        <v>1</v>
      </c>
      <c r="D50" s="3">
        <f t="shared" si="1"/>
        <v>2011</v>
      </c>
      <c r="E50" s="3">
        <v>1</v>
      </c>
      <c r="F50" s="3">
        <v>1</v>
      </c>
      <c r="G50" s="3" t="str">
        <f t="shared" si="6"/>
        <v>Night</v>
      </c>
      <c r="H50" s="3" t="b">
        <v>0</v>
      </c>
      <c r="I50" s="3" t="str">
        <f t="shared" si="0"/>
        <v>Working day</v>
      </c>
      <c r="J50" s="3">
        <v>1</v>
      </c>
      <c r="K50" s="3" t="str">
        <f t="shared" si="3"/>
        <v>Tuesday</v>
      </c>
      <c r="L50" s="3">
        <v>1</v>
      </c>
      <c r="M50" s="3" t="str">
        <f t="shared" si="4"/>
        <v>Nice weather</v>
      </c>
      <c r="N50" s="3">
        <v>0.2</v>
      </c>
      <c r="O50">
        <f t="shared" si="5"/>
        <v>20</v>
      </c>
    </row>
    <row r="51" spans="1:15" ht="13.2" x14ac:dyDescent="0.25">
      <c r="A51" s="3">
        <v>50</v>
      </c>
      <c r="B51" s="4">
        <v>40546</v>
      </c>
      <c r="C51" s="3">
        <v>1</v>
      </c>
      <c r="D51" s="3">
        <f t="shared" si="1"/>
        <v>2011</v>
      </c>
      <c r="E51" s="3">
        <v>1</v>
      </c>
      <c r="F51" s="3">
        <v>4</v>
      </c>
      <c r="G51" s="3" t="str">
        <f t="shared" si="6"/>
        <v>Night</v>
      </c>
      <c r="H51" s="3" t="b">
        <v>0</v>
      </c>
      <c r="I51" s="3" t="str">
        <f t="shared" si="0"/>
        <v>Working day</v>
      </c>
      <c r="J51" s="3">
        <v>1</v>
      </c>
      <c r="K51" s="3" t="str">
        <f t="shared" si="3"/>
        <v>Tuesday</v>
      </c>
      <c r="L51" s="3">
        <v>1</v>
      </c>
      <c r="M51" s="3" t="str">
        <f t="shared" si="4"/>
        <v>Nice weather</v>
      </c>
      <c r="N51" s="3">
        <v>0.16</v>
      </c>
      <c r="O51">
        <f t="shared" si="5"/>
        <v>16</v>
      </c>
    </row>
    <row r="52" spans="1:15" ht="13.2" x14ac:dyDescent="0.25">
      <c r="A52" s="3">
        <v>51</v>
      </c>
      <c r="B52" s="4">
        <v>40546</v>
      </c>
      <c r="C52" s="3">
        <v>1</v>
      </c>
      <c r="D52" s="3">
        <f t="shared" si="1"/>
        <v>2011</v>
      </c>
      <c r="E52" s="3">
        <v>1</v>
      </c>
      <c r="F52" s="3">
        <v>5</v>
      </c>
      <c r="G52" s="3" t="str">
        <f t="shared" si="6"/>
        <v>Night</v>
      </c>
      <c r="H52" s="3" t="b">
        <v>0</v>
      </c>
      <c r="I52" s="3" t="str">
        <f t="shared" si="0"/>
        <v>Working day</v>
      </c>
      <c r="J52" s="3">
        <v>1</v>
      </c>
      <c r="K52" s="3" t="str">
        <f t="shared" si="3"/>
        <v>Tuesday</v>
      </c>
      <c r="L52" s="3">
        <v>1</v>
      </c>
      <c r="M52" s="3" t="str">
        <f t="shared" si="4"/>
        <v>Nice weather</v>
      </c>
      <c r="N52" s="3">
        <v>0.16</v>
      </c>
      <c r="O52">
        <f t="shared" si="5"/>
        <v>16</v>
      </c>
    </row>
    <row r="53" spans="1:15" ht="13.2" x14ac:dyDescent="0.25">
      <c r="A53" s="3">
        <v>52</v>
      </c>
      <c r="B53" s="4">
        <v>40546</v>
      </c>
      <c r="C53" s="3">
        <v>1</v>
      </c>
      <c r="D53" s="3">
        <f t="shared" si="1"/>
        <v>2011</v>
      </c>
      <c r="E53" s="3">
        <v>1</v>
      </c>
      <c r="F53" s="3">
        <v>6</v>
      </c>
      <c r="G53" s="3" t="str">
        <f t="shared" si="6"/>
        <v>Morning</v>
      </c>
      <c r="H53" s="3" t="b">
        <v>0</v>
      </c>
      <c r="I53" s="3" t="str">
        <f t="shared" si="0"/>
        <v>Working day</v>
      </c>
      <c r="J53" s="3">
        <v>1</v>
      </c>
      <c r="K53" s="3" t="str">
        <f t="shared" si="3"/>
        <v>Tuesday</v>
      </c>
      <c r="L53" s="3">
        <v>1</v>
      </c>
      <c r="M53" s="3" t="str">
        <f t="shared" si="4"/>
        <v>Nice weather</v>
      </c>
      <c r="N53" s="3">
        <v>0.14000000000000001</v>
      </c>
      <c r="O53">
        <f t="shared" si="5"/>
        <v>14.000000000000002</v>
      </c>
    </row>
    <row r="54" spans="1:15" ht="13.2" x14ac:dyDescent="0.25">
      <c r="A54" s="3">
        <v>53</v>
      </c>
      <c r="B54" s="4">
        <v>40546</v>
      </c>
      <c r="C54" s="3">
        <v>1</v>
      </c>
      <c r="D54" s="3">
        <f t="shared" si="1"/>
        <v>2011</v>
      </c>
      <c r="E54" s="3">
        <v>1</v>
      </c>
      <c r="F54" s="3">
        <v>7</v>
      </c>
      <c r="G54" s="3" t="str">
        <f t="shared" si="6"/>
        <v>Morning</v>
      </c>
      <c r="H54" s="3" t="b">
        <v>0</v>
      </c>
      <c r="I54" s="3" t="str">
        <f t="shared" si="0"/>
        <v>Working day</v>
      </c>
      <c r="J54" s="3">
        <v>1</v>
      </c>
      <c r="K54" s="3" t="str">
        <f t="shared" si="3"/>
        <v>Tuesday</v>
      </c>
      <c r="L54" s="3">
        <v>1</v>
      </c>
      <c r="M54" s="3" t="str">
        <f t="shared" si="4"/>
        <v>Nice weather</v>
      </c>
      <c r="N54" s="3">
        <v>0.14000000000000001</v>
      </c>
      <c r="O54">
        <f t="shared" si="5"/>
        <v>14.000000000000002</v>
      </c>
    </row>
    <row r="55" spans="1:15" ht="13.2" x14ac:dyDescent="0.25">
      <c r="A55" s="3">
        <v>54</v>
      </c>
      <c r="B55" s="4">
        <v>40546</v>
      </c>
      <c r="C55" s="3">
        <v>1</v>
      </c>
      <c r="D55" s="3">
        <f t="shared" si="1"/>
        <v>2011</v>
      </c>
      <c r="E55" s="3">
        <v>1</v>
      </c>
      <c r="F55" s="3">
        <v>8</v>
      </c>
      <c r="G55" s="3" t="str">
        <f t="shared" si="6"/>
        <v>Morning</v>
      </c>
      <c r="H55" s="3" t="b">
        <v>0</v>
      </c>
      <c r="I55" s="3" t="str">
        <f t="shared" si="0"/>
        <v>Working day</v>
      </c>
      <c r="J55" s="3">
        <v>1</v>
      </c>
      <c r="K55" s="3" t="str">
        <f t="shared" si="3"/>
        <v>Tuesday</v>
      </c>
      <c r="L55" s="3">
        <v>1</v>
      </c>
      <c r="M55" s="3" t="str">
        <f t="shared" si="4"/>
        <v>Nice weather</v>
      </c>
      <c r="N55" s="3">
        <v>0.14000000000000001</v>
      </c>
      <c r="O55">
        <f t="shared" si="5"/>
        <v>14.000000000000002</v>
      </c>
    </row>
    <row r="56" spans="1:15" ht="13.2" x14ac:dyDescent="0.25">
      <c r="A56" s="3">
        <v>55</v>
      </c>
      <c r="B56" s="4">
        <v>40546</v>
      </c>
      <c r="C56" s="3">
        <v>1</v>
      </c>
      <c r="D56" s="3">
        <f t="shared" si="1"/>
        <v>2011</v>
      </c>
      <c r="E56" s="3">
        <v>1</v>
      </c>
      <c r="F56" s="3">
        <v>9</v>
      </c>
      <c r="G56" s="3" t="str">
        <f t="shared" si="6"/>
        <v>Morning</v>
      </c>
      <c r="H56" s="3" t="b">
        <v>0</v>
      </c>
      <c r="I56" s="3" t="str">
        <f t="shared" si="0"/>
        <v>Working day</v>
      </c>
      <c r="J56" s="3">
        <v>1</v>
      </c>
      <c r="K56" s="3" t="str">
        <f t="shared" si="3"/>
        <v>Tuesday</v>
      </c>
      <c r="L56" s="3">
        <v>1</v>
      </c>
      <c r="M56" s="3" t="str">
        <f t="shared" si="4"/>
        <v>Nice weather</v>
      </c>
      <c r="N56" s="3">
        <v>0.16</v>
      </c>
      <c r="O56">
        <f>N56*100</f>
        <v>16</v>
      </c>
    </row>
    <row r="57" spans="1:15" ht="13.2" x14ac:dyDescent="0.25">
      <c r="A57" s="3">
        <v>56</v>
      </c>
      <c r="B57" s="4">
        <v>40546</v>
      </c>
      <c r="C57" s="3">
        <v>1</v>
      </c>
      <c r="D57" s="3">
        <f t="shared" si="1"/>
        <v>2011</v>
      </c>
      <c r="E57" s="3">
        <v>1</v>
      </c>
      <c r="F57" s="3">
        <v>10</v>
      </c>
      <c r="G57" s="3" t="str">
        <f t="shared" si="6"/>
        <v>Morning</v>
      </c>
      <c r="H57" s="3" t="b">
        <v>0</v>
      </c>
      <c r="I57" s="3" t="str">
        <f t="shared" si="0"/>
        <v>Working day</v>
      </c>
      <c r="J57" s="3">
        <v>1</v>
      </c>
      <c r="K57" s="3" t="str">
        <f t="shared" si="3"/>
        <v>Tuesday</v>
      </c>
      <c r="L57" s="3">
        <v>1</v>
      </c>
      <c r="M57" s="3" t="str">
        <f t="shared" si="4"/>
        <v>Nice weather</v>
      </c>
      <c r="N57" s="3">
        <v>0.18</v>
      </c>
      <c r="O57">
        <f t="shared" si="5"/>
        <v>18</v>
      </c>
    </row>
    <row r="58" spans="1:15" ht="13.2" x14ac:dyDescent="0.25">
      <c r="A58" s="3">
        <v>57</v>
      </c>
      <c r="B58" s="4">
        <v>40546</v>
      </c>
      <c r="C58" s="3">
        <v>1</v>
      </c>
      <c r="D58" s="3">
        <f t="shared" si="1"/>
        <v>2011</v>
      </c>
      <c r="E58" s="3">
        <v>1</v>
      </c>
      <c r="F58" s="3">
        <v>11</v>
      </c>
      <c r="G58" s="3" t="str">
        <f t="shared" si="6"/>
        <v>Morning</v>
      </c>
      <c r="H58" s="3" t="b">
        <v>0</v>
      </c>
      <c r="I58" s="3" t="str">
        <f t="shared" si="0"/>
        <v>Working day</v>
      </c>
      <c r="J58" s="3">
        <v>1</v>
      </c>
      <c r="K58" s="3" t="str">
        <f t="shared" si="3"/>
        <v>Tuesday</v>
      </c>
      <c r="L58" s="3">
        <v>1</v>
      </c>
      <c r="M58" s="3" t="str">
        <f t="shared" si="4"/>
        <v>Nice weather</v>
      </c>
      <c r="N58" s="3">
        <v>0.2</v>
      </c>
      <c r="O58">
        <f t="shared" si="5"/>
        <v>20</v>
      </c>
    </row>
    <row r="59" spans="1:15" ht="13.2" x14ac:dyDescent="0.25">
      <c r="A59" s="3">
        <v>58</v>
      </c>
      <c r="B59" s="4">
        <v>40546</v>
      </c>
      <c r="C59" s="3">
        <v>1</v>
      </c>
      <c r="D59" s="3">
        <f t="shared" si="1"/>
        <v>2011</v>
      </c>
      <c r="E59" s="3">
        <v>1</v>
      </c>
      <c r="F59" s="3">
        <v>12</v>
      </c>
      <c r="G59" s="3" t="str">
        <f t="shared" si="6"/>
        <v>Afternoon</v>
      </c>
      <c r="H59" s="3" t="b">
        <v>0</v>
      </c>
      <c r="I59" s="3" t="str">
        <f t="shared" si="0"/>
        <v>Working day</v>
      </c>
      <c r="J59" s="3">
        <v>1</v>
      </c>
      <c r="K59" s="3" t="str">
        <f t="shared" si="3"/>
        <v>Tuesday</v>
      </c>
      <c r="L59" s="3">
        <v>1</v>
      </c>
      <c r="M59" s="3" t="str">
        <f t="shared" si="4"/>
        <v>Nice weather</v>
      </c>
      <c r="N59" s="3">
        <v>0.22</v>
      </c>
      <c r="O59">
        <f t="shared" si="5"/>
        <v>22</v>
      </c>
    </row>
    <row r="60" spans="1:15" ht="13.2" x14ac:dyDescent="0.25">
      <c r="A60" s="3">
        <v>59</v>
      </c>
      <c r="B60" s="4">
        <v>40546</v>
      </c>
      <c r="C60" s="3">
        <v>1</v>
      </c>
      <c r="D60" s="3">
        <f t="shared" si="1"/>
        <v>2011</v>
      </c>
      <c r="E60" s="3">
        <v>1</v>
      </c>
      <c r="F60" s="3">
        <v>13</v>
      </c>
      <c r="G60" s="3" t="str">
        <f t="shared" si="6"/>
        <v>Afternoon</v>
      </c>
      <c r="H60" s="3" t="b">
        <v>0</v>
      </c>
      <c r="I60" s="3" t="str">
        <f t="shared" si="0"/>
        <v>Working day</v>
      </c>
      <c r="J60" s="3">
        <v>1</v>
      </c>
      <c r="K60" s="3" t="str">
        <f t="shared" si="3"/>
        <v>Tuesday</v>
      </c>
      <c r="L60" s="3">
        <v>1</v>
      </c>
      <c r="M60" s="3" t="str">
        <f t="shared" si="4"/>
        <v>Nice weather</v>
      </c>
      <c r="N60" s="3">
        <v>0.24</v>
      </c>
      <c r="O60">
        <f t="shared" si="5"/>
        <v>24</v>
      </c>
    </row>
    <row r="61" spans="1:15" ht="13.2" x14ac:dyDescent="0.25">
      <c r="A61" s="3">
        <v>60</v>
      </c>
      <c r="B61" s="4">
        <v>40546</v>
      </c>
      <c r="C61" s="3">
        <v>1</v>
      </c>
      <c r="D61" s="3">
        <f t="shared" si="1"/>
        <v>2011</v>
      </c>
      <c r="E61" s="3">
        <v>1</v>
      </c>
      <c r="F61" s="3">
        <v>14</v>
      </c>
      <c r="G61" s="3" t="str">
        <f t="shared" si="6"/>
        <v>Afternoon</v>
      </c>
      <c r="H61" s="3" t="b">
        <v>0</v>
      </c>
      <c r="I61" s="3" t="str">
        <f t="shared" si="0"/>
        <v>Working day</v>
      </c>
      <c r="J61" s="3">
        <v>1</v>
      </c>
      <c r="K61" s="3" t="str">
        <f t="shared" si="3"/>
        <v>Tuesday</v>
      </c>
      <c r="L61" s="3">
        <v>1</v>
      </c>
      <c r="M61" s="3" t="str">
        <f t="shared" si="4"/>
        <v>Nice weather</v>
      </c>
      <c r="N61" s="3">
        <v>0.26</v>
      </c>
      <c r="O61">
        <f t="shared" si="5"/>
        <v>26</v>
      </c>
    </row>
    <row r="62" spans="1:15" ht="13.2" x14ac:dyDescent="0.25">
      <c r="A62" s="3">
        <v>61</v>
      </c>
      <c r="B62" s="4">
        <v>40546</v>
      </c>
      <c r="C62" s="3">
        <v>1</v>
      </c>
      <c r="D62" s="3">
        <f t="shared" si="1"/>
        <v>2011</v>
      </c>
      <c r="E62" s="3">
        <v>1</v>
      </c>
      <c r="F62" s="3">
        <v>15</v>
      </c>
      <c r="G62" s="3" t="str">
        <f t="shared" si="6"/>
        <v>Afternoon</v>
      </c>
      <c r="H62" s="3" t="b">
        <v>0</v>
      </c>
      <c r="I62" s="3" t="str">
        <f t="shared" si="0"/>
        <v>Working day</v>
      </c>
      <c r="J62" s="3">
        <v>1</v>
      </c>
      <c r="K62" s="3" t="str">
        <f t="shared" si="3"/>
        <v>Tuesday</v>
      </c>
      <c r="L62" s="3">
        <v>1</v>
      </c>
      <c r="M62" s="3" t="str">
        <f t="shared" si="4"/>
        <v>Nice weather</v>
      </c>
      <c r="N62" s="3">
        <v>0.26</v>
      </c>
      <c r="O62">
        <f t="shared" si="5"/>
        <v>26</v>
      </c>
    </row>
    <row r="63" spans="1:15" ht="13.2" x14ac:dyDescent="0.25">
      <c r="A63" s="3">
        <v>62</v>
      </c>
      <c r="B63" s="4">
        <v>40546</v>
      </c>
      <c r="C63" s="3">
        <v>1</v>
      </c>
      <c r="D63" s="3">
        <f t="shared" si="1"/>
        <v>2011</v>
      </c>
      <c r="E63" s="3">
        <v>1</v>
      </c>
      <c r="F63" s="3">
        <v>16</v>
      </c>
      <c r="G63" s="3" t="str">
        <f t="shared" si="6"/>
        <v>Afternoon</v>
      </c>
      <c r="H63" s="3" t="b">
        <v>0</v>
      </c>
      <c r="I63" s="3" t="str">
        <f t="shared" si="0"/>
        <v>Working day</v>
      </c>
      <c r="J63" s="3">
        <v>1</v>
      </c>
      <c r="K63" s="3" t="str">
        <f t="shared" si="3"/>
        <v>Tuesday</v>
      </c>
      <c r="L63" s="3">
        <v>1</v>
      </c>
      <c r="M63" s="3" t="str">
        <f t="shared" si="4"/>
        <v>Nice weather</v>
      </c>
      <c r="N63" s="3">
        <v>0.26</v>
      </c>
      <c r="O63">
        <f t="shared" si="5"/>
        <v>26</v>
      </c>
    </row>
    <row r="64" spans="1:15" ht="13.2" x14ac:dyDescent="0.25">
      <c r="A64" s="3">
        <v>63</v>
      </c>
      <c r="B64" s="4">
        <v>40546</v>
      </c>
      <c r="C64" s="3">
        <v>1</v>
      </c>
      <c r="D64" s="3">
        <f t="shared" si="1"/>
        <v>2011</v>
      </c>
      <c r="E64" s="3">
        <v>1</v>
      </c>
      <c r="F64" s="3">
        <v>17</v>
      </c>
      <c r="G64" s="3" t="str">
        <f t="shared" si="6"/>
        <v>Afternoon</v>
      </c>
      <c r="H64" s="3" t="b">
        <v>0</v>
      </c>
      <c r="I64" s="3" t="str">
        <f t="shared" si="0"/>
        <v>Working day</v>
      </c>
      <c r="J64" s="3">
        <v>1</v>
      </c>
      <c r="K64" s="3" t="str">
        <f t="shared" si="3"/>
        <v>Tuesday</v>
      </c>
      <c r="L64" s="3">
        <v>1</v>
      </c>
      <c r="M64" s="3" t="str">
        <f t="shared" si="4"/>
        <v>Nice weather</v>
      </c>
      <c r="N64" s="3">
        <v>0.24</v>
      </c>
      <c r="O64">
        <f t="shared" si="5"/>
        <v>24</v>
      </c>
    </row>
    <row r="65" spans="1:15" ht="13.2" x14ac:dyDescent="0.25">
      <c r="A65" s="3">
        <v>64</v>
      </c>
      <c r="B65" s="4">
        <v>40546</v>
      </c>
      <c r="C65" s="3">
        <v>1</v>
      </c>
      <c r="D65" s="3">
        <f t="shared" si="1"/>
        <v>2011</v>
      </c>
      <c r="E65" s="3">
        <v>1</v>
      </c>
      <c r="F65" s="3">
        <v>18</v>
      </c>
      <c r="G65" s="3" t="str">
        <f t="shared" si="6"/>
        <v>Evening</v>
      </c>
      <c r="H65" s="3" t="b">
        <v>0</v>
      </c>
      <c r="I65" s="3" t="str">
        <f t="shared" si="0"/>
        <v>Working day</v>
      </c>
      <c r="J65" s="3">
        <v>1</v>
      </c>
      <c r="K65" s="3" t="str">
        <f t="shared" si="3"/>
        <v>Tuesday</v>
      </c>
      <c r="L65" s="3">
        <v>1</v>
      </c>
      <c r="M65" s="3" t="str">
        <f t="shared" si="4"/>
        <v>Nice weather</v>
      </c>
      <c r="N65" s="3">
        <v>0.24</v>
      </c>
      <c r="O65">
        <f t="shared" si="5"/>
        <v>24</v>
      </c>
    </row>
    <row r="66" spans="1:15" ht="13.2" x14ac:dyDescent="0.25">
      <c r="A66" s="3">
        <v>65</v>
      </c>
      <c r="B66" s="4">
        <v>40546</v>
      </c>
      <c r="C66" s="3">
        <v>1</v>
      </c>
      <c r="D66" s="3">
        <f t="shared" si="1"/>
        <v>2011</v>
      </c>
      <c r="E66" s="3">
        <v>1</v>
      </c>
      <c r="F66" s="3">
        <v>19</v>
      </c>
      <c r="G66" s="3" t="str">
        <f t="shared" si="6"/>
        <v>Evening</v>
      </c>
      <c r="H66" s="3" t="b">
        <v>0</v>
      </c>
      <c r="I66" s="3" t="str">
        <f t="shared" ref="I66:I129" si="7">IF(H66=TRUE,"Holiday","Working day")</f>
        <v>Working day</v>
      </c>
      <c r="J66" s="3">
        <v>1</v>
      </c>
      <c r="K66" s="3" t="str">
        <f t="shared" si="3"/>
        <v>Tuesday</v>
      </c>
      <c r="L66" s="3">
        <v>1</v>
      </c>
      <c r="M66" s="3" t="str">
        <f t="shared" si="4"/>
        <v>Nice weather</v>
      </c>
      <c r="N66" s="3">
        <v>0.2</v>
      </c>
      <c r="O66">
        <f t="shared" si="5"/>
        <v>20</v>
      </c>
    </row>
    <row r="67" spans="1:15" ht="13.2" x14ac:dyDescent="0.25">
      <c r="A67" s="3">
        <v>66</v>
      </c>
      <c r="B67" s="4">
        <v>40546</v>
      </c>
      <c r="C67" s="3">
        <v>1</v>
      </c>
      <c r="D67" s="3">
        <f t="shared" ref="D67:D130" si="8">YEAR(B67)</f>
        <v>2011</v>
      </c>
      <c r="E67" s="3">
        <v>1</v>
      </c>
      <c r="F67" s="3">
        <v>20</v>
      </c>
      <c r="G67" s="3" t="str">
        <f t="shared" ref="G67:G130" si="9">IF(AND(F67&gt;=0,F67&lt;6),"Night",IF(AND(F67&gt;=6,F67&lt;12),"Morning",IF(AND(F67&lt;18),"Afternoon","Evening")))</f>
        <v>Evening</v>
      </c>
      <c r="H67" s="3" t="b">
        <v>0</v>
      </c>
      <c r="I67" s="3" t="str">
        <f t="shared" si="7"/>
        <v>Working day</v>
      </c>
      <c r="J67" s="3">
        <v>1</v>
      </c>
      <c r="K67" s="3" t="str">
        <f t="shared" ref="K67:K130" si="10">CHOOSE(J67+1,"Monday","Tuesday","Wednesday","Thursday","Friday","Saturday","Sunday")</f>
        <v>Tuesday</v>
      </c>
      <c r="L67" s="3">
        <v>1</v>
      </c>
      <c r="M67" s="3" t="str">
        <f t="shared" ref="M67:M130" si="11">IF(L67=1,"Nice weather", IF(L67=2,"Mild Cloudy", IF(L67=3,"Dark Cloudy", IF(L67=4,"Thunderstrome","unknown"))))</f>
        <v>Nice weather</v>
      </c>
      <c r="N67" s="3">
        <v>0.2</v>
      </c>
      <c r="O67">
        <f t="shared" ref="O67:O130" si="12">N67*100</f>
        <v>20</v>
      </c>
    </row>
    <row r="68" spans="1:15" ht="13.2" x14ac:dyDescent="0.25">
      <c r="A68" s="3">
        <v>67</v>
      </c>
      <c r="B68" s="4">
        <v>40546</v>
      </c>
      <c r="C68" s="3">
        <v>1</v>
      </c>
      <c r="D68" s="3">
        <f t="shared" si="8"/>
        <v>2011</v>
      </c>
      <c r="E68" s="3">
        <v>1</v>
      </c>
      <c r="F68" s="3">
        <v>21</v>
      </c>
      <c r="G68" s="3" t="str">
        <f t="shared" si="9"/>
        <v>Evening</v>
      </c>
      <c r="H68" s="3" t="b">
        <v>0</v>
      </c>
      <c r="I68" s="3" t="str">
        <f t="shared" si="7"/>
        <v>Working day</v>
      </c>
      <c r="J68" s="3">
        <v>1</v>
      </c>
      <c r="K68" s="3" t="str">
        <f t="shared" si="10"/>
        <v>Tuesday</v>
      </c>
      <c r="L68" s="3">
        <v>1</v>
      </c>
      <c r="M68" s="3" t="str">
        <f t="shared" si="11"/>
        <v>Nice weather</v>
      </c>
      <c r="N68" s="3">
        <v>0.18</v>
      </c>
      <c r="O68">
        <f t="shared" si="12"/>
        <v>18</v>
      </c>
    </row>
    <row r="69" spans="1:15" ht="13.2" x14ac:dyDescent="0.25">
      <c r="A69" s="3">
        <v>68</v>
      </c>
      <c r="B69" s="4">
        <v>40546</v>
      </c>
      <c r="C69" s="3">
        <v>1</v>
      </c>
      <c r="D69" s="3">
        <f t="shared" si="8"/>
        <v>2011</v>
      </c>
      <c r="E69" s="3">
        <v>1</v>
      </c>
      <c r="F69" s="3">
        <v>22</v>
      </c>
      <c r="G69" s="3" t="str">
        <f t="shared" si="9"/>
        <v>Evening</v>
      </c>
      <c r="H69" s="3" t="b">
        <v>0</v>
      </c>
      <c r="I69" s="3" t="str">
        <f t="shared" si="7"/>
        <v>Working day</v>
      </c>
      <c r="J69" s="3">
        <v>1</v>
      </c>
      <c r="K69" s="3" t="str">
        <f t="shared" si="10"/>
        <v>Tuesday</v>
      </c>
      <c r="L69" s="3">
        <v>1</v>
      </c>
      <c r="M69" s="3" t="str">
        <f t="shared" si="11"/>
        <v>Nice weather</v>
      </c>
      <c r="N69" s="3">
        <v>0.14000000000000001</v>
      </c>
      <c r="O69">
        <f t="shared" si="12"/>
        <v>14.000000000000002</v>
      </c>
    </row>
    <row r="70" spans="1:15" ht="13.2" x14ac:dyDescent="0.25">
      <c r="A70" s="3">
        <v>69</v>
      </c>
      <c r="B70" s="4">
        <v>40546</v>
      </c>
      <c r="C70" s="3">
        <v>1</v>
      </c>
      <c r="D70" s="3">
        <f t="shared" si="8"/>
        <v>2011</v>
      </c>
      <c r="E70" s="3">
        <v>1</v>
      </c>
      <c r="F70" s="3">
        <v>23</v>
      </c>
      <c r="G70" s="3" t="str">
        <f t="shared" si="9"/>
        <v>Evening</v>
      </c>
      <c r="H70" s="3" t="b">
        <v>0</v>
      </c>
      <c r="I70" s="3" t="str">
        <f t="shared" si="7"/>
        <v>Working day</v>
      </c>
      <c r="J70" s="3">
        <v>1</v>
      </c>
      <c r="K70" s="3" t="str">
        <f t="shared" si="10"/>
        <v>Tuesday</v>
      </c>
      <c r="L70" s="3">
        <v>1</v>
      </c>
      <c r="M70" s="3" t="str">
        <f t="shared" si="11"/>
        <v>Nice weather</v>
      </c>
      <c r="N70" s="3">
        <v>0.18</v>
      </c>
      <c r="O70">
        <f t="shared" si="12"/>
        <v>18</v>
      </c>
    </row>
    <row r="71" spans="1:15" ht="13.2" x14ac:dyDescent="0.25">
      <c r="A71" s="3">
        <v>70</v>
      </c>
      <c r="B71" s="4">
        <v>40547</v>
      </c>
      <c r="C71" s="3">
        <v>1</v>
      </c>
      <c r="D71" s="3">
        <f t="shared" si="8"/>
        <v>2011</v>
      </c>
      <c r="E71" s="3">
        <v>1</v>
      </c>
      <c r="F71" s="3">
        <v>0</v>
      </c>
      <c r="G71" s="3" t="str">
        <f t="shared" si="9"/>
        <v>Night</v>
      </c>
      <c r="H71" s="3" t="b">
        <v>0</v>
      </c>
      <c r="I71" s="3" t="str">
        <f t="shared" si="7"/>
        <v>Working day</v>
      </c>
      <c r="J71" s="3">
        <v>2</v>
      </c>
      <c r="K71" s="3" t="str">
        <f t="shared" si="10"/>
        <v>Wednesday</v>
      </c>
      <c r="L71" s="3">
        <v>1</v>
      </c>
      <c r="M71" s="3" t="str">
        <f t="shared" si="11"/>
        <v>Nice weather</v>
      </c>
      <c r="N71" s="3">
        <v>0.16</v>
      </c>
      <c r="O71">
        <f t="shared" si="12"/>
        <v>16</v>
      </c>
    </row>
    <row r="72" spans="1:15" ht="13.2" x14ac:dyDescent="0.25">
      <c r="A72" s="3">
        <v>71</v>
      </c>
      <c r="B72" s="4">
        <v>40547</v>
      </c>
      <c r="C72" s="3">
        <v>1</v>
      </c>
      <c r="D72" s="3">
        <f t="shared" si="8"/>
        <v>2011</v>
      </c>
      <c r="E72" s="3">
        <v>1</v>
      </c>
      <c r="F72" s="3">
        <v>1</v>
      </c>
      <c r="G72" s="3" t="str">
        <f t="shared" si="9"/>
        <v>Night</v>
      </c>
      <c r="H72" s="3" t="b">
        <v>0</v>
      </c>
      <c r="I72" s="3" t="str">
        <f t="shared" si="7"/>
        <v>Working day</v>
      </c>
      <c r="J72" s="3">
        <v>2</v>
      </c>
      <c r="K72" s="3" t="str">
        <f t="shared" si="10"/>
        <v>Wednesday</v>
      </c>
      <c r="L72" s="3">
        <v>1</v>
      </c>
      <c r="M72" s="3" t="str">
        <f t="shared" si="11"/>
        <v>Nice weather</v>
      </c>
      <c r="N72" s="3">
        <v>0.16</v>
      </c>
      <c r="O72">
        <f t="shared" si="12"/>
        <v>16</v>
      </c>
    </row>
    <row r="73" spans="1:15" ht="13.2" x14ac:dyDescent="0.25">
      <c r="A73" s="3">
        <v>72</v>
      </c>
      <c r="B73" s="4">
        <v>40547</v>
      </c>
      <c r="C73" s="3">
        <v>1</v>
      </c>
      <c r="D73" s="3">
        <f t="shared" si="8"/>
        <v>2011</v>
      </c>
      <c r="E73" s="3">
        <v>1</v>
      </c>
      <c r="F73" s="3">
        <v>2</v>
      </c>
      <c r="G73" s="3" t="str">
        <f t="shared" si="9"/>
        <v>Night</v>
      </c>
      <c r="H73" s="3" t="b">
        <v>0</v>
      </c>
      <c r="I73" s="3" t="str">
        <f t="shared" si="7"/>
        <v>Working day</v>
      </c>
      <c r="J73" s="3">
        <v>2</v>
      </c>
      <c r="K73" s="3" t="str">
        <f t="shared" si="10"/>
        <v>Wednesday</v>
      </c>
      <c r="L73" s="3">
        <v>1</v>
      </c>
      <c r="M73" s="3" t="str">
        <f t="shared" si="11"/>
        <v>Nice weather</v>
      </c>
      <c r="N73" s="3">
        <v>0.14000000000000001</v>
      </c>
      <c r="O73">
        <f t="shared" si="12"/>
        <v>14.000000000000002</v>
      </c>
    </row>
    <row r="74" spans="1:15" ht="13.2" x14ac:dyDescent="0.25">
      <c r="A74" s="3">
        <v>73</v>
      </c>
      <c r="B74" s="4">
        <v>40547</v>
      </c>
      <c r="C74" s="3">
        <v>1</v>
      </c>
      <c r="D74" s="3">
        <f t="shared" si="8"/>
        <v>2011</v>
      </c>
      <c r="E74" s="3">
        <v>1</v>
      </c>
      <c r="F74" s="3">
        <v>4</v>
      </c>
      <c r="G74" s="3" t="str">
        <f t="shared" si="9"/>
        <v>Night</v>
      </c>
      <c r="H74" s="3" t="b">
        <v>0</v>
      </c>
      <c r="I74" s="3" t="str">
        <f t="shared" si="7"/>
        <v>Working day</v>
      </c>
      <c r="J74" s="3">
        <v>2</v>
      </c>
      <c r="K74" s="3" t="str">
        <f t="shared" si="10"/>
        <v>Wednesday</v>
      </c>
      <c r="L74" s="3">
        <v>1</v>
      </c>
      <c r="M74" s="3" t="str">
        <f t="shared" si="11"/>
        <v>Nice weather</v>
      </c>
      <c r="N74" s="3">
        <v>0.14000000000000001</v>
      </c>
      <c r="O74">
        <f t="shared" si="12"/>
        <v>14.000000000000002</v>
      </c>
    </row>
    <row r="75" spans="1:15" ht="13.2" x14ac:dyDescent="0.25">
      <c r="A75" s="3">
        <v>74</v>
      </c>
      <c r="B75" s="4">
        <v>40547</v>
      </c>
      <c r="C75" s="3">
        <v>1</v>
      </c>
      <c r="D75" s="3">
        <f t="shared" si="8"/>
        <v>2011</v>
      </c>
      <c r="E75" s="3">
        <v>1</v>
      </c>
      <c r="F75" s="3">
        <v>5</v>
      </c>
      <c r="G75" s="3" t="str">
        <f t="shared" si="9"/>
        <v>Night</v>
      </c>
      <c r="H75" s="3" t="b">
        <v>0</v>
      </c>
      <c r="I75" s="3" t="str">
        <f t="shared" si="7"/>
        <v>Working day</v>
      </c>
      <c r="J75" s="3">
        <v>2</v>
      </c>
      <c r="K75" s="3" t="str">
        <f t="shared" si="10"/>
        <v>Wednesday</v>
      </c>
      <c r="L75" s="3">
        <v>1</v>
      </c>
      <c r="M75" s="3" t="str">
        <f t="shared" si="11"/>
        <v>Nice weather</v>
      </c>
      <c r="N75" s="3">
        <v>0.12</v>
      </c>
      <c r="O75">
        <f t="shared" si="12"/>
        <v>12</v>
      </c>
    </row>
    <row r="76" spans="1:15" ht="13.2" x14ac:dyDescent="0.25">
      <c r="A76" s="3">
        <v>75</v>
      </c>
      <c r="B76" s="4">
        <v>40547</v>
      </c>
      <c r="C76" s="3">
        <v>1</v>
      </c>
      <c r="D76" s="3">
        <f t="shared" si="8"/>
        <v>2011</v>
      </c>
      <c r="E76" s="3">
        <v>1</v>
      </c>
      <c r="F76" s="3">
        <v>6</v>
      </c>
      <c r="G76" s="3" t="str">
        <f t="shared" si="9"/>
        <v>Morning</v>
      </c>
      <c r="H76" s="3" t="b">
        <v>0</v>
      </c>
      <c r="I76" s="3" t="str">
        <f t="shared" si="7"/>
        <v>Working day</v>
      </c>
      <c r="J76" s="3">
        <v>2</v>
      </c>
      <c r="K76" s="3" t="str">
        <f t="shared" si="10"/>
        <v>Wednesday</v>
      </c>
      <c r="L76" s="3">
        <v>1</v>
      </c>
      <c r="M76" s="3" t="str">
        <f t="shared" si="11"/>
        <v>Nice weather</v>
      </c>
      <c r="N76" s="3">
        <v>0.12</v>
      </c>
      <c r="O76">
        <f t="shared" si="12"/>
        <v>12</v>
      </c>
    </row>
    <row r="77" spans="1:15" ht="13.2" x14ac:dyDescent="0.25">
      <c r="A77" s="3">
        <v>76</v>
      </c>
      <c r="B77" s="4">
        <v>40547</v>
      </c>
      <c r="C77" s="3">
        <v>1</v>
      </c>
      <c r="D77" s="3">
        <f t="shared" si="8"/>
        <v>2011</v>
      </c>
      <c r="E77" s="3">
        <v>1</v>
      </c>
      <c r="F77" s="3">
        <v>7</v>
      </c>
      <c r="G77" s="3" t="str">
        <f t="shared" si="9"/>
        <v>Morning</v>
      </c>
      <c r="H77" s="3" t="b">
        <v>0</v>
      </c>
      <c r="I77" s="3" t="str">
        <f t="shared" si="7"/>
        <v>Working day</v>
      </c>
      <c r="J77" s="3">
        <v>2</v>
      </c>
      <c r="K77" s="3" t="str">
        <f t="shared" si="10"/>
        <v>Wednesday</v>
      </c>
      <c r="L77" s="3">
        <v>1</v>
      </c>
      <c r="M77" s="3" t="str">
        <f t="shared" si="11"/>
        <v>Nice weather</v>
      </c>
      <c r="N77" s="3">
        <v>0.12</v>
      </c>
      <c r="O77">
        <f t="shared" si="12"/>
        <v>12</v>
      </c>
    </row>
    <row r="78" spans="1:15" ht="13.2" x14ac:dyDescent="0.25">
      <c r="A78" s="3">
        <v>77</v>
      </c>
      <c r="B78" s="4">
        <v>40547</v>
      </c>
      <c r="C78" s="3">
        <v>1</v>
      </c>
      <c r="D78" s="3">
        <f t="shared" si="8"/>
        <v>2011</v>
      </c>
      <c r="E78" s="3">
        <v>1</v>
      </c>
      <c r="F78" s="3">
        <v>8</v>
      </c>
      <c r="G78" s="3" t="str">
        <f t="shared" si="9"/>
        <v>Morning</v>
      </c>
      <c r="H78" s="3" t="b">
        <v>0</v>
      </c>
      <c r="I78" s="3" t="str">
        <f t="shared" si="7"/>
        <v>Working day</v>
      </c>
      <c r="J78" s="3">
        <v>2</v>
      </c>
      <c r="K78" s="3" t="str">
        <f t="shared" si="10"/>
        <v>Wednesday</v>
      </c>
      <c r="L78" s="3">
        <v>1</v>
      </c>
      <c r="M78" s="3" t="str">
        <f t="shared" si="11"/>
        <v>Nice weather</v>
      </c>
      <c r="N78" s="3">
        <v>0.14000000000000001</v>
      </c>
      <c r="O78">
        <f t="shared" si="12"/>
        <v>14.000000000000002</v>
      </c>
    </row>
    <row r="79" spans="1:15" ht="13.2" x14ac:dyDescent="0.25">
      <c r="A79" s="3">
        <v>78</v>
      </c>
      <c r="B79" s="4">
        <v>40547</v>
      </c>
      <c r="C79" s="3">
        <v>1</v>
      </c>
      <c r="D79" s="3">
        <f t="shared" si="8"/>
        <v>2011</v>
      </c>
      <c r="E79" s="3">
        <v>1</v>
      </c>
      <c r="F79" s="3">
        <v>9</v>
      </c>
      <c r="G79" s="3" t="str">
        <f t="shared" si="9"/>
        <v>Morning</v>
      </c>
      <c r="H79" s="3" t="b">
        <v>0</v>
      </c>
      <c r="I79" s="3" t="str">
        <f t="shared" si="7"/>
        <v>Working day</v>
      </c>
      <c r="J79" s="3">
        <v>2</v>
      </c>
      <c r="K79" s="3" t="str">
        <f t="shared" si="10"/>
        <v>Wednesday</v>
      </c>
      <c r="L79" s="3">
        <v>1</v>
      </c>
      <c r="M79" s="3" t="str">
        <f t="shared" si="11"/>
        <v>Nice weather</v>
      </c>
      <c r="N79" s="3">
        <v>0.16</v>
      </c>
      <c r="O79">
        <f t="shared" si="12"/>
        <v>16</v>
      </c>
    </row>
    <row r="80" spans="1:15" ht="13.2" x14ac:dyDescent="0.25">
      <c r="A80" s="3">
        <v>79</v>
      </c>
      <c r="B80" s="4">
        <v>40547</v>
      </c>
      <c r="C80" s="3">
        <v>1</v>
      </c>
      <c r="D80" s="3">
        <f t="shared" si="8"/>
        <v>2011</v>
      </c>
      <c r="E80" s="3">
        <v>1</v>
      </c>
      <c r="F80" s="3">
        <v>10</v>
      </c>
      <c r="G80" s="3" t="str">
        <f t="shared" si="9"/>
        <v>Morning</v>
      </c>
      <c r="H80" s="3" t="b">
        <v>0</v>
      </c>
      <c r="I80" s="3" t="str">
        <f t="shared" si="7"/>
        <v>Working day</v>
      </c>
      <c r="J80" s="3">
        <v>2</v>
      </c>
      <c r="K80" s="3" t="str">
        <f t="shared" si="10"/>
        <v>Wednesday</v>
      </c>
      <c r="L80" s="3">
        <v>2</v>
      </c>
      <c r="M80" s="3" t="str">
        <f t="shared" si="11"/>
        <v>Mild Cloudy</v>
      </c>
      <c r="N80" s="3">
        <v>0.16</v>
      </c>
      <c r="O80">
        <f t="shared" si="12"/>
        <v>16</v>
      </c>
    </row>
    <row r="81" spans="1:15" ht="13.2" x14ac:dyDescent="0.25">
      <c r="A81" s="3">
        <v>80</v>
      </c>
      <c r="B81" s="4">
        <v>40547</v>
      </c>
      <c r="C81" s="3">
        <v>1</v>
      </c>
      <c r="D81" s="3">
        <f t="shared" si="8"/>
        <v>2011</v>
      </c>
      <c r="E81" s="3">
        <v>1</v>
      </c>
      <c r="F81" s="3">
        <v>11</v>
      </c>
      <c r="G81" s="3" t="str">
        <f t="shared" si="9"/>
        <v>Morning</v>
      </c>
      <c r="H81" s="3" t="b">
        <v>0</v>
      </c>
      <c r="I81" s="3" t="str">
        <f t="shared" si="7"/>
        <v>Working day</v>
      </c>
      <c r="J81" s="3">
        <v>2</v>
      </c>
      <c r="K81" s="3" t="str">
        <f t="shared" si="10"/>
        <v>Wednesday</v>
      </c>
      <c r="L81" s="3">
        <v>1</v>
      </c>
      <c r="M81" s="3" t="str">
        <f t="shared" si="11"/>
        <v>Nice weather</v>
      </c>
      <c r="N81" s="3">
        <v>0.22</v>
      </c>
      <c r="O81">
        <f t="shared" si="12"/>
        <v>22</v>
      </c>
    </row>
    <row r="82" spans="1:15" ht="13.2" x14ac:dyDescent="0.25">
      <c r="A82" s="3">
        <v>81</v>
      </c>
      <c r="B82" s="4">
        <v>40547</v>
      </c>
      <c r="C82" s="3">
        <v>1</v>
      </c>
      <c r="D82" s="3">
        <f t="shared" si="8"/>
        <v>2011</v>
      </c>
      <c r="E82" s="3">
        <v>1</v>
      </c>
      <c r="F82" s="3">
        <v>12</v>
      </c>
      <c r="G82" s="3" t="str">
        <f t="shared" si="9"/>
        <v>Afternoon</v>
      </c>
      <c r="H82" s="3" t="b">
        <v>0</v>
      </c>
      <c r="I82" s="3" t="str">
        <f t="shared" si="7"/>
        <v>Working day</v>
      </c>
      <c r="J82" s="3">
        <v>2</v>
      </c>
      <c r="K82" s="3" t="str">
        <f t="shared" si="10"/>
        <v>Wednesday</v>
      </c>
      <c r="L82" s="3">
        <v>1</v>
      </c>
      <c r="M82" s="3" t="str">
        <f t="shared" si="11"/>
        <v>Nice weather</v>
      </c>
      <c r="N82" s="3">
        <v>0.22</v>
      </c>
      <c r="O82">
        <f t="shared" si="12"/>
        <v>22</v>
      </c>
    </row>
    <row r="83" spans="1:15" ht="13.2" x14ac:dyDescent="0.25">
      <c r="A83" s="3">
        <v>82</v>
      </c>
      <c r="B83" s="4">
        <v>40547</v>
      </c>
      <c r="C83" s="3">
        <v>1</v>
      </c>
      <c r="D83" s="3">
        <f t="shared" si="8"/>
        <v>2011</v>
      </c>
      <c r="E83" s="3">
        <v>1</v>
      </c>
      <c r="F83" s="3">
        <v>13</v>
      </c>
      <c r="G83" s="3" t="str">
        <f t="shared" si="9"/>
        <v>Afternoon</v>
      </c>
      <c r="H83" s="3" t="b">
        <v>0</v>
      </c>
      <c r="I83" s="3" t="str">
        <f t="shared" si="7"/>
        <v>Working day</v>
      </c>
      <c r="J83" s="3">
        <v>2</v>
      </c>
      <c r="K83" s="3" t="str">
        <f t="shared" si="10"/>
        <v>Wednesday</v>
      </c>
      <c r="L83" s="3">
        <v>1</v>
      </c>
      <c r="M83" s="3" t="str">
        <f t="shared" si="11"/>
        <v>Nice weather</v>
      </c>
      <c r="N83" s="3">
        <v>0.24</v>
      </c>
      <c r="O83">
        <f t="shared" si="12"/>
        <v>24</v>
      </c>
    </row>
    <row r="84" spans="1:15" ht="13.2" x14ac:dyDescent="0.25">
      <c r="A84" s="3">
        <v>83</v>
      </c>
      <c r="B84" s="4">
        <v>40547</v>
      </c>
      <c r="C84" s="3">
        <v>1</v>
      </c>
      <c r="D84" s="3">
        <f t="shared" si="8"/>
        <v>2011</v>
      </c>
      <c r="E84" s="3">
        <v>1</v>
      </c>
      <c r="F84" s="3">
        <v>14</v>
      </c>
      <c r="G84" s="3" t="str">
        <f t="shared" si="9"/>
        <v>Afternoon</v>
      </c>
      <c r="H84" s="3" t="b">
        <v>0</v>
      </c>
      <c r="I84" s="3" t="str">
        <f t="shared" si="7"/>
        <v>Working day</v>
      </c>
      <c r="J84" s="3">
        <v>2</v>
      </c>
      <c r="K84" s="3" t="str">
        <f t="shared" si="10"/>
        <v>Wednesday</v>
      </c>
      <c r="L84" s="3">
        <v>1</v>
      </c>
      <c r="M84" s="3" t="str">
        <f t="shared" si="11"/>
        <v>Nice weather</v>
      </c>
      <c r="N84" s="3">
        <v>0.26</v>
      </c>
      <c r="O84">
        <f t="shared" si="12"/>
        <v>26</v>
      </c>
    </row>
    <row r="85" spans="1:15" ht="13.2" x14ac:dyDescent="0.25">
      <c r="A85" s="3">
        <v>84</v>
      </c>
      <c r="B85" s="4">
        <v>40547</v>
      </c>
      <c r="C85" s="3">
        <v>1</v>
      </c>
      <c r="D85" s="3">
        <f t="shared" si="8"/>
        <v>2011</v>
      </c>
      <c r="E85" s="3">
        <v>1</v>
      </c>
      <c r="F85" s="3">
        <v>15</v>
      </c>
      <c r="G85" s="3" t="str">
        <f t="shared" si="9"/>
        <v>Afternoon</v>
      </c>
      <c r="H85" s="3" t="b">
        <v>0</v>
      </c>
      <c r="I85" s="3" t="str">
        <f t="shared" si="7"/>
        <v>Working day</v>
      </c>
      <c r="J85" s="3">
        <v>2</v>
      </c>
      <c r="K85" s="3" t="str">
        <f t="shared" si="10"/>
        <v>Wednesday</v>
      </c>
      <c r="L85" s="3">
        <v>1</v>
      </c>
      <c r="M85" s="3" t="str">
        <f t="shared" si="11"/>
        <v>Nice weather</v>
      </c>
      <c r="N85" s="3">
        <v>0.28000000000000003</v>
      </c>
      <c r="O85">
        <f t="shared" si="12"/>
        <v>28.000000000000004</v>
      </c>
    </row>
    <row r="86" spans="1:15" ht="13.2" x14ac:dyDescent="0.25">
      <c r="A86" s="3">
        <v>85</v>
      </c>
      <c r="B86" s="4">
        <v>40547</v>
      </c>
      <c r="C86" s="3">
        <v>1</v>
      </c>
      <c r="D86" s="3">
        <f t="shared" si="8"/>
        <v>2011</v>
      </c>
      <c r="E86" s="3">
        <v>1</v>
      </c>
      <c r="F86" s="3">
        <v>16</v>
      </c>
      <c r="G86" s="3" t="str">
        <f t="shared" si="9"/>
        <v>Afternoon</v>
      </c>
      <c r="H86" s="3" t="b">
        <v>0</v>
      </c>
      <c r="I86" s="3" t="str">
        <f t="shared" si="7"/>
        <v>Working day</v>
      </c>
      <c r="J86" s="3">
        <v>2</v>
      </c>
      <c r="K86" s="3" t="str">
        <f t="shared" si="10"/>
        <v>Wednesday</v>
      </c>
      <c r="L86" s="3">
        <v>1</v>
      </c>
      <c r="M86" s="3" t="str">
        <f t="shared" si="11"/>
        <v>Nice weather</v>
      </c>
      <c r="N86" s="3">
        <v>0.3</v>
      </c>
      <c r="O86">
        <f t="shared" si="12"/>
        <v>30</v>
      </c>
    </row>
    <row r="87" spans="1:15" ht="13.2" x14ac:dyDescent="0.25">
      <c r="A87" s="3">
        <v>86</v>
      </c>
      <c r="B87" s="4">
        <v>40547</v>
      </c>
      <c r="C87" s="3">
        <v>1</v>
      </c>
      <c r="D87" s="3">
        <f t="shared" si="8"/>
        <v>2011</v>
      </c>
      <c r="E87" s="3">
        <v>1</v>
      </c>
      <c r="F87" s="3">
        <v>17</v>
      </c>
      <c r="G87" s="3" t="str">
        <f t="shared" si="9"/>
        <v>Afternoon</v>
      </c>
      <c r="H87" s="3" t="b">
        <v>0</v>
      </c>
      <c r="I87" s="3" t="str">
        <f t="shared" si="7"/>
        <v>Working day</v>
      </c>
      <c r="J87" s="3">
        <v>2</v>
      </c>
      <c r="K87" s="3" t="str">
        <f t="shared" si="10"/>
        <v>Wednesday</v>
      </c>
      <c r="L87" s="3">
        <v>1</v>
      </c>
      <c r="M87" s="3" t="str">
        <f t="shared" si="11"/>
        <v>Nice weather</v>
      </c>
      <c r="N87" s="3">
        <v>0.28000000000000003</v>
      </c>
      <c r="O87">
        <f t="shared" si="12"/>
        <v>28.000000000000004</v>
      </c>
    </row>
    <row r="88" spans="1:15" ht="13.2" x14ac:dyDescent="0.25">
      <c r="A88" s="3">
        <v>87</v>
      </c>
      <c r="B88" s="4">
        <v>40547</v>
      </c>
      <c r="C88" s="3">
        <v>1</v>
      </c>
      <c r="D88" s="3">
        <f t="shared" si="8"/>
        <v>2011</v>
      </c>
      <c r="E88" s="3">
        <v>1</v>
      </c>
      <c r="F88" s="3">
        <v>18</v>
      </c>
      <c r="G88" s="3" t="str">
        <f t="shared" si="9"/>
        <v>Evening</v>
      </c>
      <c r="H88" s="3" t="b">
        <v>0</v>
      </c>
      <c r="I88" s="3" t="str">
        <f t="shared" si="7"/>
        <v>Working day</v>
      </c>
      <c r="J88" s="3">
        <v>2</v>
      </c>
      <c r="K88" s="3" t="str">
        <f t="shared" si="10"/>
        <v>Wednesday</v>
      </c>
      <c r="L88" s="3">
        <v>1</v>
      </c>
      <c r="M88" s="3" t="str">
        <f t="shared" si="11"/>
        <v>Nice weather</v>
      </c>
      <c r="N88" s="3">
        <v>0.26</v>
      </c>
      <c r="O88">
        <f t="shared" si="12"/>
        <v>26</v>
      </c>
    </row>
    <row r="89" spans="1:15" ht="13.2" x14ac:dyDescent="0.25">
      <c r="A89" s="3">
        <v>88</v>
      </c>
      <c r="B89" s="4">
        <v>40547</v>
      </c>
      <c r="C89" s="3">
        <v>1</v>
      </c>
      <c r="D89" s="3">
        <f t="shared" si="8"/>
        <v>2011</v>
      </c>
      <c r="E89" s="3">
        <v>1</v>
      </c>
      <c r="F89" s="3">
        <v>19</v>
      </c>
      <c r="G89" s="3" t="str">
        <f t="shared" si="9"/>
        <v>Evening</v>
      </c>
      <c r="H89" s="3" t="b">
        <v>0</v>
      </c>
      <c r="I89" s="3" t="str">
        <f t="shared" si="7"/>
        <v>Working day</v>
      </c>
      <c r="J89" s="3">
        <v>2</v>
      </c>
      <c r="K89" s="3" t="str">
        <f t="shared" si="10"/>
        <v>Wednesday</v>
      </c>
      <c r="L89" s="3">
        <v>1</v>
      </c>
      <c r="M89" s="3" t="str">
        <f t="shared" si="11"/>
        <v>Nice weather</v>
      </c>
      <c r="N89" s="3">
        <v>0.24</v>
      </c>
      <c r="O89">
        <f t="shared" si="12"/>
        <v>24</v>
      </c>
    </row>
    <row r="90" spans="1:15" ht="13.2" x14ac:dyDescent="0.25">
      <c r="A90" s="3">
        <v>89</v>
      </c>
      <c r="B90" s="4">
        <v>40547</v>
      </c>
      <c r="C90" s="3">
        <v>1</v>
      </c>
      <c r="D90" s="3">
        <f t="shared" si="8"/>
        <v>2011</v>
      </c>
      <c r="E90" s="3">
        <v>1</v>
      </c>
      <c r="F90" s="3">
        <v>20</v>
      </c>
      <c r="G90" s="3" t="str">
        <f t="shared" si="9"/>
        <v>Evening</v>
      </c>
      <c r="H90" s="3" t="b">
        <v>0</v>
      </c>
      <c r="I90" s="3" t="str">
        <f t="shared" si="7"/>
        <v>Working day</v>
      </c>
      <c r="J90" s="3">
        <v>2</v>
      </c>
      <c r="K90" s="3" t="str">
        <f t="shared" si="10"/>
        <v>Wednesday</v>
      </c>
      <c r="L90" s="3">
        <v>1</v>
      </c>
      <c r="M90" s="3" t="str">
        <f t="shared" si="11"/>
        <v>Nice weather</v>
      </c>
      <c r="N90" s="3">
        <v>0.24</v>
      </c>
      <c r="O90">
        <f t="shared" si="12"/>
        <v>24</v>
      </c>
    </row>
    <row r="91" spans="1:15" ht="13.2" x14ac:dyDescent="0.25">
      <c r="A91" s="3">
        <v>90</v>
      </c>
      <c r="B91" s="4">
        <v>40547</v>
      </c>
      <c r="C91" s="3">
        <v>1</v>
      </c>
      <c r="D91" s="3">
        <f t="shared" si="8"/>
        <v>2011</v>
      </c>
      <c r="E91" s="3">
        <v>1</v>
      </c>
      <c r="F91" s="3">
        <v>21</v>
      </c>
      <c r="G91" s="3" t="str">
        <f t="shared" si="9"/>
        <v>Evening</v>
      </c>
      <c r="H91" s="3" t="b">
        <v>0</v>
      </c>
      <c r="I91" s="3" t="str">
        <f t="shared" si="7"/>
        <v>Working day</v>
      </c>
      <c r="J91" s="3">
        <v>2</v>
      </c>
      <c r="K91" s="3" t="str">
        <f t="shared" si="10"/>
        <v>Wednesday</v>
      </c>
      <c r="L91" s="3">
        <v>1</v>
      </c>
      <c r="M91" s="3" t="str">
        <f t="shared" si="11"/>
        <v>Nice weather</v>
      </c>
      <c r="N91" s="3">
        <v>0.22</v>
      </c>
      <c r="O91">
        <f t="shared" si="12"/>
        <v>22</v>
      </c>
    </row>
    <row r="92" spans="1:15" ht="13.2" x14ac:dyDescent="0.25">
      <c r="A92" s="3">
        <v>91</v>
      </c>
      <c r="B92" s="4">
        <v>40547</v>
      </c>
      <c r="C92" s="3">
        <v>1</v>
      </c>
      <c r="D92" s="3">
        <f t="shared" si="8"/>
        <v>2011</v>
      </c>
      <c r="E92" s="3">
        <v>1</v>
      </c>
      <c r="F92" s="3">
        <v>22</v>
      </c>
      <c r="G92" s="3" t="str">
        <f t="shared" si="9"/>
        <v>Evening</v>
      </c>
      <c r="H92" s="3" t="b">
        <v>0</v>
      </c>
      <c r="I92" s="3" t="str">
        <f t="shared" si="7"/>
        <v>Working day</v>
      </c>
      <c r="J92" s="3">
        <v>2</v>
      </c>
      <c r="K92" s="3" t="str">
        <f t="shared" si="10"/>
        <v>Wednesday</v>
      </c>
      <c r="L92" s="3">
        <v>1</v>
      </c>
      <c r="M92" s="3" t="str">
        <f t="shared" si="11"/>
        <v>Nice weather</v>
      </c>
      <c r="N92" s="3">
        <v>0.22</v>
      </c>
      <c r="O92">
        <f t="shared" si="12"/>
        <v>22</v>
      </c>
    </row>
    <row r="93" spans="1:15" ht="13.2" x14ac:dyDescent="0.25">
      <c r="A93" s="3">
        <v>92</v>
      </c>
      <c r="B93" s="4">
        <v>40547</v>
      </c>
      <c r="C93" s="3">
        <v>1</v>
      </c>
      <c r="D93" s="3">
        <f t="shared" si="8"/>
        <v>2011</v>
      </c>
      <c r="E93" s="3">
        <v>1</v>
      </c>
      <c r="F93" s="3">
        <v>23</v>
      </c>
      <c r="G93" s="3" t="str">
        <f t="shared" si="9"/>
        <v>Evening</v>
      </c>
      <c r="H93" s="3" t="b">
        <v>0</v>
      </c>
      <c r="I93" s="3" t="str">
        <f t="shared" si="7"/>
        <v>Working day</v>
      </c>
      <c r="J93" s="3">
        <v>2</v>
      </c>
      <c r="K93" s="3" t="str">
        <f t="shared" si="10"/>
        <v>Wednesday</v>
      </c>
      <c r="L93" s="3">
        <v>1</v>
      </c>
      <c r="M93" s="3" t="str">
        <f t="shared" si="11"/>
        <v>Nice weather</v>
      </c>
      <c r="N93" s="3">
        <v>0.2</v>
      </c>
      <c r="O93">
        <f t="shared" si="12"/>
        <v>20</v>
      </c>
    </row>
    <row r="94" spans="1:15" ht="13.2" x14ac:dyDescent="0.25">
      <c r="A94" s="3">
        <v>93</v>
      </c>
      <c r="B94" s="4">
        <v>40548</v>
      </c>
      <c r="C94" s="3">
        <v>1</v>
      </c>
      <c r="D94" s="3">
        <f t="shared" si="8"/>
        <v>2011</v>
      </c>
      <c r="E94" s="3">
        <v>1</v>
      </c>
      <c r="F94" s="3">
        <v>0</v>
      </c>
      <c r="G94" s="3" t="str">
        <f t="shared" si="9"/>
        <v>Night</v>
      </c>
      <c r="H94" s="3" t="b">
        <v>0</v>
      </c>
      <c r="I94" s="3" t="str">
        <f t="shared" si="7"/>
        <v>Working day</v>
      </c>
      <c r="J94" s="3">
        <v>3</v>
      </c>
      <c r="K94" s="3" t="str">
        <f t="shared" si="10"/>
        <v>Thursday</v>
      </c>
      <c r="L94" s="3">
        <v>1</v>
      </c>
      <c r="M94" s="3" t="str">
        <f t="shared" si="11"/>
        <v>Nice weather</v>
      </c>
      <c r="N94" s="3">
        <v>0.2</v>
      </c>
      <c r="O94">
        <f t="shared" si="12"/>
        <v>20</v>
      </c>
    </row>
    <row r="95" spans="1:15" ht="13.2" x14ac:dyDescent="0.25">
      <c r="A95" s="3">
        <v>94</v>
      </c>
      <c r="B95" s="4">
        <v>40548</v>
      </c>
      <c r="C95" s="3">
        <v>1</v>
      </c>
      <c r="D95" s="3">
        <f t="shared" si="8"/>
        <v>2011</v>
      </c>
      <c r="E95" s="3">
        <v>1</v>
      </c>
      <c r="F95" s="3">
        <v>1</v>
      </c>
      <c r="G95" s="3" t="str">
        <f t="shared" si="9"/>
        <v>Night</v>
      </c>
      <c r="H95" s="3" t="b">
        <v>0</v>
      </c>
      <c r="I95" s="3" t="str">
        <f t="shared" si="7"/>
        <v>Working day</v>
      </c>
      <c r="J95" s="3">
        <v>3</v>
      </c>
      <c r="K95" s="3" t="str">
        <f t="shared" si="10"/>
        <v>Thursday</v>
      </c>
      <c r="L95" s="3">
        <v>1</v>
      </c>
      <c r="M95" s="3" t="str">
        <f t="shared" si="11"/>
        <v>Nice weather</v>
      </c>
      <c r="N95" s="3">
        <v>0.16</v>
      </c>
      <c r="O95">
        <f t="shared" si="12"/>
        <v>16</v>
      </c>
    </row>
    <row r="96" spans="1:15" ht="13.2" x14ac:dyDescent="0.25">
      <c r="A96" s="3">
        <v>95</v>
      </c>
      <c r="B96" s="4">
        <v>40548</v>
      </c>
      <c r="C96" s="3">
        <v>1</v>
      </c>
      <c r="D96" s="3">
        <f t="shared" si="8"/>
        <v>2011</v>
      </c>
      <c r="E96" s="3">
        <v>1</v>
      </c>
      <c r="F96" s="3">
        <v>2</v>
      </c>
      <c r="G96" s="3" t="str">
        <f t="shared" si="9"/>
        <v>Night</v>
      </c>
      <c r="H96" s="3" t="b">
        <v>0</v>
      </c>
      <c r="I96" s="3" t="str">
        <f t="shared" si="7"/>
        <v>Working day</v>
      </c>
      <c r="J96" s="3">
        <v>3</v>
      </c>
      <c r="K96" s="3" t="str">
        <f t="shared" si="10"/>
        <v>Thursday</v>
      </c>
      <c r="L96" s="3">
        <v>1</v>
      </c>
      <c r="M96" s="3" t="str">
        <f t="shared" si="11"/>
        <v>Nice weather</v>
      </c>
      <c r="N96" s="3">
        <v>0.16</v>
      </c>
      <c r="O96">
        <f t="shared" si="12"/>
        <v>16</v>
      </c>
    </row>
    <row r="97" spans="1:15" ht="13.2" x14ac:dyDescent="0.25">
      <c r="A97" s="3">
        <v>96</v>
      </c>
      <c r="B97" s="4">
        <v>40548</v>
      </c>
      <c r="C97" s="3">
        <v>1</v>
      </c>
      <c r="D97" s="3">
        <f t="shared" si="8"/>
        <v>2011</v>
      </c>
      <c r="E97" s="3">
        <v>1</v>
      </c>
      <c r="F97" s="3">
        <v>4</v>
      </c>
      <c r="G97" s="3" t="str">
        <f t="shared" si="9"/>
        <v>Night</v>
      </c>
      <c r="H97" s="3" t="b">
        <v>0</v>
      </c>
      <c r="I97" s="3" t="str">
        <f t="shared" si="7"/>
        <v>Working day</v>
      </c>
      <c r="J97" s="3">
        <v>3</v>
      </c>
      <c r="K97" s="3" t="str">
        <f t="shared" si="10"/>
        <v>Thursday</v>
      </c>
      <c r="L97" s="3">
        <v>1</v>
      </c>
      <c r="M97" s="3" t="str">
        <f t="shared" si="11"/>
        <v>Nice weather</v>
      </c>
      <c r="N97" s="3">
        <v>0.24</v>
      </c>
      <c r="O97">
        <f t="shared" si="12"/>
        <v>24</v>
      </c>
    </row>
    <row r="98" spans="1:15" ht="13.2" x14ac:dyDescent="0.25">
      <c r="A98" s="3">
        <v>97</v>
      </c>
      <c r="B98" s="4">
        <v>40548</v>
      </c>
      <c r="C98" s="3">
        <v>1</v>
      </c>
      <c r="D98" s="3">
        <f t="shared" si="8"/>
        <v>2011</v>
      </c>
      <c r="E98" s="3">
        <v>1</v>
      </c>
      <c r="F98" s="3">
        <v>5</v>
      </c>
      <c r="G98" s="3" t="str">
        <f t="shared" si="9"/>
        <v>Night</v>
      </c>
      <c r="H98" s="3" t="b">
        <v>0</v>
      </c>
      <c r="I98" s="3" t="str">
        <f t="shared" si="7"/>
        <v>Working day</v>
      </c>
      <c r="J98" s="3">
        <v>3</v>
      </c>
      <c r="K98" s="3" t="str">
        <f t="shared" si="10"/>
        <v>Thursday</v>
      </c>
      <c r="L98" s="3">
        <v>1</v>
      </c>
      <c r="M98" s="3" t="str">
        <f t="shared" si="11"/>
        <v>Nice weather</v>
      </c>
      <c r="N98" s="3">
        <v>0.22</v>
      </c>
      <c r="O98">
        <f t="shared" si="12"/>
        <v>22</v>
      </c>
    </row>
    <row r="99" spans="1:15" ht="13.2" x14ac:dyDescent="0.25">
      <c r="A99" s="3">
        <v>98</v>
      </c>
      <c r="B99" s="4">
        <v>40548</v>
      </c>
      <c r="C99" s="3">
        <v>1</v>
      </c>
      <c r="D99" s="3">
        <f t="shared" si="8"/>
        <v>2011</v>
      </c>
      <c r="E99" s="3">
        <v>1</v>
      </c>
      <c r="F99" s="3">
        <v>6</v>
      </c>
      <c r="G99" s="3" t="str">
        <f t="shared" si="9"/>
        <v>Morning</v>
      </c>
      <c r="H99" s="3" t="b">
        <v>0</v>
      </c>
      <c r="I99" s="3" t="str">
        <f t="shared" si="7"/>
        <v>Working day</v>
      </c>
      <c r="J99" s="3">
        <v>3</v>
      </c>
      <c r="K99" s="3" t="str">
        <f t="shared" si="10"/>
        <v>Thursday</v>
      </c>
      <c r="L99" s="3">
        <v>1</v>
      </c>
      <c r="M99" s="3" t="str">
        <f t="shared" si="11"/>
        <v>Nice weather</v>
      </c>
      <c r="N99" s="3">
        <v>0.2</v>
      </c>
      <c r="O99">
        <f t="shared" si="12"/>
        <v>20</v>
      </c>
    </row>
    <row r="100" spans="1:15" ht="13.2" x14ac:dyDescent="0.25">
      <c r="A100" s="3">
        <v>99</v>
      </c>
      <c r="B100" s="4">
        <v>40548</v>
      </c>
      <c r="C100" s="3">
        <v>1</v>
      </c>
      <c r="D100" s="3">
        <f t="shared" si="8"/>
        <v>2011</v>
      </c>
      <c r="E100" s="3">
        <v>1</v>
      </c>
      <c r="F100" s="3">
        <v>7</v>
      </c>
      <c r="G100" s="3" t="str">
        <f t="shared" si="9"/>
        <v>Morning</v>
      </c>
      <c r="H100" s="3" t="b">
        <v>0</v>
      </c>
      <c r="I100" s="3" t="str">
        <f t="shared" si="7"/>
        <v>Working day</v>
      </c>
      <c r="J100" s="3">
        <v>3</v>
      </c>
      <c r="K100" s="3" t="str">
        <f t="shared" si="10"/>
        <v>Thursday</v>
      </c>
      <c r="L100" s="3">
        <v>1</v>
      </c>
      <c r="M100" s="3" t="str">
        <f t="shared" si="11"/>
        <v>Nice weather</v>
      </c>
      <c r="N100" s="3">
        <v>0.18</v>
      </c>
      <c r="O100">
        <f t="shared" si="12"/>
        <v>18</v>
      </c>
    </row>
    <row r="101" spans="1:15" ht="13.2" x14ac:dyDescent="0.25">
      <c r="A101" s="3">
        <v>100</v>
      </c>
      <c r="B101" s="4">
        <v>40548</v>
      </c>
      <c r="C101" s="3">
        <v>1</v>
      </c>
      <c r="D101" s="3">
        <f t="shared" si="8"/>
        <v>2011</v>
      </c>
      <c r="E101" s="3">
        <v>1</v>
      </c>
      <c r="F101" s="3">
        <v>8</v>
      </c>
      <c r="G101" s="3" t="str">
        <f t="shared" si="9"/>
        <v>Morning</v>
      </c>
      <c r="H101" s="3" t="b">
        <v>0</v>
      </c>
      <c r="I101" s="3" t="str">
        <f t="shared" si="7"/>
        <v>Working day</v>
      </c>
      <c r="J101" s="3">
        <v>3</v>
      </c>
      <c r="K101" s="3" t="str">
        <f t="shared" si="10"/>
        <v>Thursday</v>
      </c>
      <c r="L101" s="3">
        <v>1</v>
      </c>
      <c r="M101" s="3" t="str">
        <f t="shared" si="11"/>
        <v>Nice weather</v>
      </c>
      <c r="N101" s="3">
        <v>0.2</v>
      </c>
      <c r="O101">
        <f t="shared" si="12"/>
        <v>20</v>
      </c>
    </row>
    <row r="102" spans="1:15" ht="13.2" x14ac:dyDescent="0.25">
      <c r="A102" s="3">
        <v>101</v>
      </c>
      <c r="B102" s="4">
        <v>40548</v>
      </c>
      <c r="C102" s="3">
        <v>1</v>
      </c>
      <c r="D102" s="3">
        <f t="shared" si="8"/>
        <v>2011</v>
      </c>
      <c r="E102" s="3">
        <v>1</v>
      </c>
      <c r="F102" s="3">
        <v>9</v>
      </c>
      <c r="G102" s="3" t="str">
        <f t="shared" si="9"/>
        <v>Morning</v>
      </c>
      <c r="H102" s="3" t="b">
        <v>0</v>
      </c>
      <c r="I102" s="3" t="str">
        <f t="shared" si="7"/>
        <v>Working day</v>
      </c>
      <c r="J102" s="3">
        <v>3</v>
      </c>
      <c r="K102" s="3" t="str">
        <f t="shared" si="10"/>
        <v>Thursday</v>
      </c>
      <c r="L102" s="3">
        <v>1</v>
      </c>
      <c r="M102" s="3" t="str">
        <f t="shared" si="11"/>
        <v>Nice weather</v>
      </c>
      <c r="N102" s="3">
        <v>0.22</v>
      </c>
      <c r="O102">
        <f t="shared" si="12"/>
        <v>22</v>
      </c>
    </row>
    <row r="103" spans="1:15" ht="13.2" x14ac:dyDescent="0.25">
      <c r="A103" s="3">
        <v>102</v>
      </c>
      <c r="B103" s="4">
        <v>40548</v>
      </c>
      <c r="C103" s="3">
        <v>1</v>
      </c>
      <c r="D103" s="3">
        <f t="shared" si="8"/>
        <v>2011</v>
      </c>
      <c r="E103" s="3">
        <v>1</v>
      </c>
      <c r="F103" s="3">
        <v>10</v>
      </c>
      <c r="G103" s="3" t="str">
        <f t="shared" si="9"/>
        <v>Morning</v>
      </c>
      <c r="H103" s="3" t="b">
        <v>0</v>
      </c>
      <c r="I103" s="3" t="str">
        <f t="shared" si="7"/>
        <v>Working day</v>
      </c>
      <c r="J103" s="3">
        <v>3</v>
      </c>
      <c r="K103" s="3" t="str">
        <f t="shared" si="10"/>
        <v>Thursday</v>
      </c>
      <c r="L103" s="3">
        <v>1</v>
      </c>
      <c r="M103" s="3" t="str">
        <f t="shared" si="11"/>
        <v>Nice weather</v>
      </c>
      <c r="N103" s="3">
        <v>0.22</v>
      </c>
      <c r="O103">
        <f t="shared" si="12"/>
        <v>22</v>
      </c>
    </row>
    <row r="104" spans="1:15" ht="13.2" x14ac:dyDescent="0.25">
      <c r="A104" s="3">
        <v>103</v>
      </c>
      <c r="B104" s="4">
        <v>40548</v>
      </c>
      <c r="C104" s="3">
        <v>1</v>
      </c>
      <c r="D104" s="3">
        <f t="shared" si="8"/>
        <v>2011</v>
      </c>
      <c r="E104" s="3">
        <v>1</v>
      </c>
      <c r="F104" s="3">
        <v>11</v>
      </c>
      <c r="G104" s="3" t="str">
        <f t="shared" si="9"/>
        <v>Morning</v>
      </c>
      <c r="H104" s="3" t="b">
        <v>0</v>
      </c>
      <c r="I104" s="3" t="str">
        <f t="shared" si="7"/>
        <v>Working day</v>
      </c>
      <c r="J104" s="3">
        <v>3</v>
      </c>
      <c r="K104" s="3" t="str">
        <f t="shared" si="10"/>
        <v>Thursday</v>
      </c>
      <c r="L104" s="3">
        <v>1</v>
      </c>
      <c r="M104" s="3" t="str">
        <f t="shared" si="11"/>
        <v>Nice weather</v>
      </c>
      <c r="N104" s="3">
        <v>0.26</v>
      </c>
      <c r="O104">
        <f t="shared" si="12"/>
        <v>26</v>
      </c>
    </row>
    <row r="105" spans="1:15" ht="13.2" x14ac:dyDescent="0.25">
      <c r="A105" s="3">
        <v>104</v>
      </c>
      <c r="B105" s="4">
        <v>40548</v>
      </c>
      <c r="C105" s="3">
        <v>1</v>
      </c>
      <c r="D105" s="3">
        <f t="shared" si="8"/>
        <v>2011</v>
      </c>
      <c r="E105" s="3">
        <v>1</v>
      </c>
      <c r="F105" s="3">
        <v>12</v>
      </c>
      <c r="G105" s="3" t="str">
        <f t="shared" si="9"/>
        <v>Afternoon</v>
      </c>
      <c r="H105" s="3" t="b">
        <v>0</v>
      </c>
      <c r="I105" s="3" t="str">
        <f t="shared" si="7"/>
        <v>Working day</v>
      </c>
      <c r="J105" s="3">
        <v>3</v>
      </c>
      <c r="K105" s="3" t="str">
        <f t="shared" si="10"/>
        <v>Thursday</v>
      </c>
      <c r="L105" s="3">
        <v>1</v>
      </c>
      <c r="M105" s="3" t="str">
        <f t="shared" si="11"/>
        <v>Nice weather</v>
      </c>
      <c r="N105" s="3">
        <v>0.26</v>
      </c>
      <c r="O105">
        <f t="shared" si="12"/>
        <v>26</v>
      </c>
    </row>
    <row r="106" spans="1:15" ht="13.2" x14ac:dyDescent="0.25">
      <c r="A106" s="3">
        <v>105</v>
      </c>
      <c r="B106" s="4">
        <v>40548</v>
      </c>
      <c r="C106" s="3">
        <v>1</v>
      </c>
      <c r="D106" s="3">
        <f t="shared" si="8"/>
        <v>2011</v>
      </c>
      <c r="E106" s="3">
        <v>1</v>
      </c>
      <c r="F106" s="3">
        <v>13</v>
      </c>
      <c r="G106" s="3" t="str">
        <f t="shared" si="9"/>
        <v>Afternoon</v>
      </c>
      <c r="H106" s="3" t="b">
        <v>0</v>
      </c>
      <c r="I106" s="3" t="str">
        <f t="shared" si="7"/>
        <v>Working day</v>
      </c>
      <c r="J106" s="3">
        <v>3</v>
      </c>
      <c r="K106" s="3" t="str">
        <f t="shared" si="10"/>
        <v>Thursday</v>
      </c>
      <c r="L106" s="3">
        <v>1</v>
      </c>
      <c r="M106" s="3" t="str">
        <f t="shared" si="11"/>
        <v>Nice weather</v>
      </c>
      <c r="N106" s="3">
        <v>0.28000000000000003</v>
      </c>
      <c r="O106">
        <f t="shared" si="12"/>
        <v>28.000000000000004</v>
      </c>
    </row>
    <row r="107" spans="1:15" ht="13.2" x14ac:dyDescent="0.25">
      <c r="A107" s="3">
        <v>106</v>
      </c>
      <c r="B107" s="4">
        <v>40548</v>
      </c>
      <c r="C107" s="3">
        <v>1</v>
      </c>
      <c r="D107" s="3">
        <f t="shared" si="8"/>
        <v>2011</v>
      </c>
      <c r="E107" s="3">
        <v>1</v>
      </c>
      <c r="F107" s="3">
        <v>14</v>
      </c>
      <c r="G107" s="3" t="str">
        <f t="shared" si="9"/>
        <v>Afternoon</v>
      </c>
      <c r="H107" s="3" t="b">
        <v>0</v>
      </c>
      <c r="I107" s="3" t="str">
        <f t="shared" si="7"/>
        <v>Working day</v>
      </c>
      <c r="J107" s="3">
        <v>3</v>
      </c>
      <c r="K107" s="3" t="str">
        <f t="shared" si="10"/>
        <v>Thursday</v>
      </c>
      <c r="L107" s="3">
        <v>1</v>
      </c>
      <c r="M107" s="3" t="str">
        <f t="shared" si="11"/>
        <v>Nice weather</v>
      </c>
      <c r="N107" s="3">
        <v>0.3</v>
      </c>
      <c r="O107">
        <f t="shared" si="12"/>
        <v>30</v>
      </c>
    </row>
    <row r="108" spans="1:15" ht="13.2" x14ac:dyDescent="0.25">
      <c r="A108" s="3">
        <v>107</v>
      </c>
      <c r="B108" s="4">
        <v>40548</v>
      </c>
      <c r="C108" s="3">
        <v>1</v>
      </c>
      <c r="D108" s="3">
        <f t="shared" si="8"/>
        <v>2011</v>
      </c>
      <c r="E108" s="3">
        <v>1</v>
      </c>
      <c r="F108" s="3">
        <v>15</v>
      </c>
      <c r="G108" s="3" t="str">
        <f t="shared" si="9"/>
        <v>Afternoon</v>
      </c>
      <c r="H108" s="3" t="b">
        <v>0</v>
      </c>
      <c r="I108" s="3" t="str">
        <f t="shared" si="7"/>
        <v>Working day</v>
      </c>
      <c r="J108" s="3">
        <v>3</v>
      </c>
      <c r="K108" s="3" t="str">
        <f t="shared" si="10"/>
        <v>Thursday</v>
      </c>
      <c r="L108" s="3">
        <v>1</v>
      </c>
      <c r="M108" s="3" t="str">
        <f t="shared" si="11"/>
        <v>Nice weather</v>
      </c>
      <c r="N108" s="3">
        <v>0.3</v>
      </c>
      <c r="O108">
        <f t="shared" si="12"/>
        <v>30</v>
      </c>
    </row>
    <row r="109" spans="1:15" ht="13.2" x14ac:dyDescent="0.25">
      <c r="A109" s="3">
        <v>108</v>
      </c>
      <c r="B109" s="4">
        <v>40548</v>
      </c>
      <c r="C109" s="3">
        <v>1</v>
      </c>
      <c r="D109" s="3">
        <f t="shared" si="8"/>
        <v>2011</v>
      </c>
      <c r="E109" s="3">
        <v>1</v>
      </c>
      <c r="F109" s="3">
        <v>16</v>
      </c>
      <c r="G109" s="3" t="str">
        <f t="shared" si="9"/>
        <v>Afternoon</v>
      </c>
      <c r="H109" s="3" t="b">
        <v>0</v>
      </c>
      <c r="I109" s="3" t="str">
        <f t="shared" si="7"/>
        <v>Working day</v>
      </c>
      <c r="J109" s="3">
        <v>3</v>
      </c>
      <c r="K109" s="3" t="str">
        <f t="shared" si="10"/>
        <v>Thursday</v>
      </c>
      <c r="L109" s="3">
        <v>1</v>
      </c>
      <c r="M109" s="3" t="str">
        <f t="shared" si="11"/>
        <v>Nice weather</v>
      </c>
      <c r="N109" s="3">
        <v>0.3</v>
      </c>
      <c r="O109">
        <f t="shared" si="12"/>
        <v>30</v>
      </c>
    </row>
    <row r="110" spans="1:15" ht="13.2" x14ac:dyDescent="0.25">
      <c r="A110" s="3">
        <v>109</v>
      </c>
      <c r="B110" s="4">
        <v>40548</v>
      </c>
      <c r="C110" s="3">
        <v>1</v>
      </c>
      <c r="D110" s="3">
        <f t="shared" si="8"/>
        <v>2011</v>
      </c>
      <c r="E110" s="3">
        <v>1</v>
      </c>
      <c r="F110" s="3">
        <v>17</v>
      </c>
      <c r="G110" s="3" t="str">
        <f t="shared" si="9"/>
        <v>Afternoon</v>
      </c>
      <c r="H110" s="3" t="b">
        <v>0</v>
      </c>
      <c r="I110" s="3" t="str">
        <f t="shared" si="7"/>
        <v>Working day</v>
      </c>
      <c r="J110" s="3">
        <v>3</v>
      </c>
      <c r="K110" s="3" t="str">
        <f t="shared" si="10"/>
        <v>Thursday</v>
      </c>
      <c r="L110" s="3">
        <v>1</v>
      </c>
      <c r="M110" s="3" t="str">
        <f t="shared" si="11"/>
        <v>Nice weather</v>
      </c>
      <c r="N110" s="3">
        <v>0.24</v>
      </c>
      <c r="O110">
        <f t="shared" si="12"/>
        <v>24</v>
      </c>
    </row>
    <row r="111" spans="1:15" ht="13.2" x14ac:dyDescent="0.25">
      <c r="A111" s="3">
        <v>110</v>
      </c>
      <c r="B111" s="4">
        <v>40548</v>
      </c>
      <c r="C111" s="3">
        <v>1</v>
      </c>
      <c r="D111" s="3">
        <f t="shared" si="8"/>
        <v>2011</v>
      </c>
      <c r="E111" s="3">
        <v>1</v>
      </c>
      <c r="F111" s="3">
        <v>18</v>
      </c>
      <c r="G111" s="3" t="str">
        <f t="shared" si="9"/>
        <v>Evening</v>
      </c>
      <c r="H111" s="3" t="b">
        <v>0</v>
      </c>
      <c r="I111" s="3" t="str">
        <f t="shared" si="7"/>
        <v>Working day</v>
      </c>
      <c r="J111" s="3">
        <v>3</v>
      </c>
      <c r="K111" s="3" t="str">
        <f t="shared" si="10"/>
        <v>Thursday</v>
      </c>
      <c r="L111" s="3">
        <v>1</v>
      </c>
      <c r="M111" s="3" t="str">
        <f t="shared" si="11"/>
        <v>Nice weather</v>
      </c>
      <c r="N111" s="3">
        <v>0.24</v>
      </c>
      <c r="O111">
        <f t="shared" si="12"/>
        <v>24</v>
      </c>
    </row>
    <row r="112" spans="1:15" ht="13.2" x14ac:dyDescent="0.25">
      <c r="A112" s="3">
        <v>111</v>
      </c>
      <c r="B112" s="4">
        <v>40548</v>
      </c>
      <c r="C112" s="3">
        <v>1</v>
      </c>
      <c r="D112" s="3">
        <f t="shared" si="8"/>
        <v>2011</v>
      </c>
      <c r="E112" s="3">
        <v>1</v>
      </c>
      <c r="F112" s="3">
        <v>19</v>
      </c>
      <c r="G112" s="3" t="str">
        <f t="shared" si="9"/>
        <v>Evening</v>
      </c>
      <c r="H112" s="3" t="b">
        <v>0</v>
      </c>
      <c r="I112" s="3" t="str">
        <f t="shared" si="7"/>
        <v>Working day</v>
      </c>
      <c r="J112" s="3">
        <v>3</v>
      </c>
      <c r="K112" s="3" t="str">
        <f t="shared" si="10"/>
        <v>Thursday</v>
      </c>
      <c r="L112" s="3">
        <v>1</v>
      </c>
      <c r="M112" s="3" t="str">
        <f t="shared" si="11"/>
        <v>Nice weather</v>
      </c>
      <c r="N112" s="3">
        <v>0.24</v>
      </c>
      <c r="O112">
        <f t="shared" si="12"/>
        <v>24</v>
      </c>
    </row>
    <row r="113" spans="1:15" ht="13.2" x14ac:dyDescent="0.25">
      <c r="A113" s="3">
        <v>112</v>
      </c>
      <c r="B113" s="4">
        <v>40548</v>
      </c>
      <c r="C113" s="3">
        <v>1</v>
      </c>
      <c r="D113" s="3">
        <f t="shared" si="8"/>
        <v>2011</v>
      </c>
      <c r="E113" s="3">
        <v>1</v>
      </c>
      <c r="F113" s="3">
        <v>20</v>
      </c>
      <c r="G113" s="3" t="str">
        <f t="shared" si="9"/>
        <v>Evening</v>
      </c>
      <c r="H113" s="3" t="b">
        <v>0</v>
      </c>
      <c r="I113" s="3" t="str">
        <f t="shared" si="7"/>
        <v>Working day</v>
      </c>
      <c r="J113" s="3">
        <v>3</v>
      </c>
      <c r="K113" s="3" t="str">
        <f t="shared" si="10"/>
        <v>Thursday</v>
      </c>
      <c r="L113" s="3">
        <v>1</v>
      </c>
      <c r="M113" s="3" t="str">
        <f t="shared" si="11"/>
        <v>Nice weather</v>
      </c>
      <c r="N113" s="3">
        <v>0.22</v>
      </c>
      <c r="O113">
        <f t="shared" si="12"/>
        <v>22</v>
      </c>
    </row>
    <row r="114" spans="1:15" ht="13.2" x14ac:dyDescent="0.25">
      <c r="A114" s="3">
        <v>113</v>
      </c>
      <c r="B114" s="4">
        <v>40548</v>
      </c>
      <c r="C114" s="3">
        <v>1</v>
      </c>
      <c r="D114" s="3">
        <f t="shared" si="8"/>
        <v>2011</v>
      </c>
      <c r="E114" s="3">
        <v>1</v>
      </c>
      <c r="F114" s="3">
        <v>21</v>
      </c>
      <c r="G114" s="3" t="str">
        <f t="shared" si="9"/>
        <v>Evening</v>
      </c>
      <c r="H114" s="3" t="b">
        <v>0</v>
      </c>
      <c r="I114" s="3" t="str">
        <f t="shared" si="7"/>
        <v>Working day</v>
      </c>
      <c r="J114" s="3">
        <v>3</v>
      </c>
      <c r="K114" s="3" t="str">
        <f t="shared" si="10"/>
        <v>Thursday</v>
      </c>
      <c r="L114" s="3">
        <v>1</v>
      </c>
      <c r="M114" s="3" t="str">
        <f t="shared" si="11"/>
        <v>Nice weather</v>
      </c>
      <c r="N114" s="3">
        <v>0.2</v>
      </c>
      <c r="O114">
        <f t="shared" si="12"/>
        <v>20</v>
      </c>
    </row>
    <row r="115" spans="1:15" ht="13.2" x14ac:dyDescent="0.25">
      <c r="A115" s="3">
        <v>114</v>
      </c>
      <c r="B115" s="4">
        <v>40548</v>
      </c>
      <c r="C115" s="3">
        <v>1</v>
      </c>
      <c r="D115" s="3">
        <f t="shared" si="8"/>
        <v>2011</v>
      </c>
      <c r="E115" s="3">
        <v>1</v>
      </c>
      <c r="F115" s="3">
        <v>22</v>
      </c>
      <c r="G115" s="3" t="str">
        <f t="shared" si="9"/>
        <v>Evening</v>
      </c>
      <c r="H115" s="3" t="b">
        <v>0</v>
      </c>
      <c r="I115" s="3" t="str">
        <f t="shared" si="7"/>
        <v>Working day</v>
      </c>
      <c r="J115" s="3">
        <v>3</v>
      </c>
      <c r="K115" s="3" t="str">
        <f t="shared" si="10"/>
        <v>Thursday</v>
      </c>
      <c r="L115" s="3">
        <v>1</v>
      </c>
      <c r="M115" s="3" t="str">
        <f t="shared" si="11"/>
        <v>Nice weather</v>
      </c>
      <c r="N115" s="3">
        <v>0.18</v>
      </c>
      <c r="O115">
        <f t="shared" si="12"/>
        <v>18</v>
      </c>
    </row>
    <row r="116" spans="1:15" ht="13.2" x14ac:dyDescent="0.25">
      <c r="A116" s="3">
        <v>115</v>
      </c>
      <c r="B116" s="4">
        <v>40548</v>
      </c>
      <c r="C116" s="3">
        <v>1</v>
      </c>
      <c r="D116" s="3">
        <f t="shared" si="8"/>
        <v>2011</v>
      </c>
      <c r="E116" s="3">
        <v>1</v>
      </c>
      <c r="F116" s="3">
        <v>23</v>
      </c>
      <c r="G116" s="3" t="str">
        <f t="shared" si="9"/>
        <v>Evening</v>
      </c>
      <c r="H116" s="3" t="b">
        <v>0</v>
      </c>
      <c r="I116" s="3" t="str">
        <f t="shared" si="7"/>
        <v>Working day</v>
      </c>
      <c r="J116" s="3">
        <v>3</v>
      </c>
      <c r="K116" s="3" t="str">
        <f t="shared" si="10"/>
        <v>Thursday</v>
      </c>
      <c r="L116" s="3">
        <v>1</v>
      </c>
      <c r="M116" s="3" t="str">
        <f t="shared" si="11"/>
        <v>Nice weather</v>
      </c>
      <c r="N116" s="3">
        <v>0.2</v>
      </c>
      <c r="O116">
        <f t="shared" si="12"/>
        <v>20</v>
      </c>
    </row>
    <row r="117" spans="1:15" ht="13.2" x14ac:dyDescent="0.25">
      <c r="A117" s="3">
        <v>116</v>
      </c>
      <c r="B117" s="4">
        <v>40549</v>
      </c>
      <c r="C117" s="3">
        <v>1</v>
      </c>
      <c r="D117" s="3">
        <f t="shared" si="8"/>
        <v>2011</v>
      </c>
      <c r="E117" s="3">
        <v>1</v>
      </c>
      <c r="F117" s="3">
        <v>0</v>
      </c>
      <c r="G117" s="3" t="str">
        <f t="shared" si="9"/>
        <v>Night</v>
      </c>
      <c r="H117" s="3" t="b">
        <v>0</v>
      </c>
      <c r="I117" s="3" t="str">
        <f t="shared" si="7"/>
        <v>Working day</v>
      </c>
      <c r="J117" s="3">
        <v>4</v>
      </c>
      <c r="K117" s="3" t="str">
        <f t="shared" si="10"/>
        <v>Friday</v>
      </c>
      <c r="L117" s="3">
        <v>1</v>
      </c>
      <c r="M117" s="3" t="str">
        <f t="shared" si="11"/>
        <v>Nice weather</v>
      </c>
      <c r="N117" s="3">
        <v>0.18</v>
      </c>
      <c r="O117">
        <f t="shared" si="12"/>
        <v>18</v>
      </c>
    </row>
    <row r="118" spans="1:15" ht="13.2" x14ac:dyDescent="0.25">
      <c r="A118" s="3">
        <v>117</v>
      </c>
      <c r="B118" s="4">
        <v>40549</v>
      </c>
      <c r="C118" s="3">
        <v>1</v>
      </c>
      <c r="D118" s="3">
        <f t="shared" si="8"/>
        <v>2011</v>
      </c>
      <c r="E118" s="3">
        <v>1</v>
      </c>
      <c r="F118" s="3">
        <v>1</v>
      </c>
      <c r="G118" s="3" t="str">
        <f t="shared" si="9"/>
        <v>Night</v>
      </c>
      <c r="H118" s="3" t="b">
        <v>0</v>
      </c>
      <c r="I118" s="3" t="str">
        <f t="shared" si="7"/>
        <v>Working day</v>
      </c>
      <c r="J118" s="3">
        <v>4</v>
      </c>
      <c r="K118" s="3" t="str">
        <f t="shared" si="10"/>
        <v>Friday</v>
      </c>
      <c r="L118" s="3">
        <v>1</v>
      </c>
      <c r="M118" s="3" t="str">
        <f t="shared" si="11"/>
        <v>Nice weather</v>
      </c>
      <c r="N118" s="3">
        <v>0.16</v>
      </c>
      <c r="O118">
        <f t="shared" si="12"/>
        <v>16</v>
      </c>
    </row>
    <row r="119" spans="1:15" ht="13.2" x14ac:dyDescent="0.25">
      <c r="A119" s="3">
        <v>118</v>
      </c>
      <c r="B119" s="4">
        <v>40549</v>
      </c>
      <c r="C119" s="3">
        <v>1</v>
      </c>
      <c r="D119" s="3">
        <f t="shared" si="8"/>
        <v>2011</v>
      </c>
      <c r="E119" s="3">
        <v>1</v>
      </c>
      <c r="F119" s="3">
        <v>2</v>
      </c>
      <c r="G119" s="3" t="str">
        <f t="shared" si="9"/>
        <v>Night</v>
      </c>
      <c r="H119" s="3" t="b">
        <v>0</v>
      </c>
      <c r="I119" s="3" t="str">
        <f t="shared" si="7"/>
        <v>Working day</v>
      </c>
      <c r="J119" s="3">
        <v>4</v>
      </c>
      <c r="K119" s="3" t="str">
        <f t="shared" si="10"/>
        <v>Friday</v>
      </c>
      <c r="L119" s="3">
        <v>1</v>
      </c>
      <c r="M119" s="3" t="str">
        <f t="shared" si="11"/>
        <v>Nice weather</v>
      </c>
      <c r="N119" s="3">
        <v>0.16</v>
      </c>
      <c r="O119">
        <f t="shared" si="12"/>
        <v>16</v>
      </c>
    </row>
    <row r="120" spans="1:15" ht="13.2" x14ac:dyDescent="0.25">
      <c r="A120" s="3">
        <v>119</v>
      </c>
      <c r="B120" s="4">
        <v>40549</v>
      </c>
      <c r="C120" s="3">
        <v>1</v>
      </c>
      <c r="D120" s="3">
        <f t="shared" si="8"/>
        <v>2011</v>
      </c>
      <c r="E120" s="3">
        <v>1</v>
      </c>
      <c r="F120" s="3">
        <v>4</v>
      </c>
      <c r="G120" s="3" t="str">
        <f t="shared" si="9"/>
        <v>Night</v>
      </c>
      <c r="H120" s="3" t="b">
        <v>0</v>
      </c>
      <c r="I120" s="3" t="str">
        <f t="shared" si="7"/>
        <v>Working day</v>
      </c>
      <c r="J120" s="3">
        <v>4</v>
      </c>
      <c r="K120" s="3" t="str">
        <f t="shared" si="10"/>
        <v>Friday</v>
      </c>
      <c r="L120" s="3">
        <v>2</v>
      </c>
      <c r="M120" s="3" t="str">
        <f t="shared" si="11"/>
        <v>Mild Cloudy</v>
      </c>
      <c r="N120" s="3">
        <v>0.16</v>
      </c>
      <c r="O120">
        <f t="shared" si="12"/>
        <v>16</v>
      </c>
    </row>
    <row r="121" spans="1:15" ht="13.2" x14ac:dyDescent="0.25">
      <c r="A121" s="3">
        <v>120</v>
      </c>
      <c r="B121" s="4">
        <v>40549</v>
      </c>
      <c r="C121" s="3">
        <v>1</v>
      </c>
      <c r="D121" s="3">
        <f t="shared" si="8"/>
        <v>2011</v>
      </c>
      <c r="E121" s="3">
        <v>1</v>
      </c>
      <c r="F121" s="3">
        <v>5</v>
      </c>
      <c r="G121" s="3" t="str">
        <f t="shared" si="9"/>
        <v>Night</v>
      </c>
      <c r="H121" s="3" t="b">
        <v>0</v>
      </c>
      <c r="I121" s="3" t="str">
        <f t="shared" si="7"/>
        <v>Working day</v>
      </c>
      <c r="J121" s="3">
        <v>4</v>
      </c>
      <c r="K121" s="3" t="str">
        <f t="shared" si="10"/>
        <v>Friday</v>
      </c>
      <c r="L121" s="3">
        <v>2</v>
      </c>
      <c r="M121" s="3" t="str">
        <f t="shared" si="11"/>
        <v>Mild Cloudy</v>
      </c>
      <c r="N121" s="3">
        <v>0.14000000000000001</v>
      </c>
      <c r="O121">
        <f t="shared" si="12"/>
        <v>14.000000000000002</v>
      </c>
    </row>
    <row r="122" spans="1:15" ht="13.2" x14ac:dyDescent="0.25">
      <c r="A122" s="3">
        <v>121</v>
      </c>
      <c r="B122" s="4">
        <v>40549</v>
      </c>
      <c r="C122" s="3">
        <v>1</v>
      </c>
      <c r="D122" s="3">
        <f t="shared" si="8"/>
        <v>2011</v>
      </c>
      <c r="E122" s="3">
        <v>1</v>
      </c>
      <c r="F122" s="3">
        <v>6</v>
      </c>
      <c r="G122" s="3" t="str">
        <f t="shared" si="9"/>
        <v>Morning</v>
      </c>
      <c r="H122" s="3" t="b">
        <v>0</v>
      </c>
      <c r="I122" s="3" t="str">
        <f t="shared" si="7"/>
        <v>Working day</v>
      </c>
      <c r="J122" s="3">
        <v>4</v>
      </c>
      <c r="K122" s="3" t="str">
        <f t="shared" si="10"/>
        <v>Friday</v>
      </c>
      <c r="L122" s="3">
        <v>2</v>
      </c>
      <c r="M122" s="3" t="str">
        <f t="shared" si="11"/>
        <v>Mild Cloudy</v>
      </c>
      <c r="N122" s="3">
        <v>0.14000000000000001</v>
      </c>
      <c r="O122">
        <f t="shared" si="12"/>
        <v>14.000000000000002</v>
      </c>
    </row>
    <row r="123" spans="1:15" ht="13.2" x14ac:dyDescent="0.25">
      <c r="A123" s="3">
        <v>122</v>
      </c>
      <c r="B123" s="4">
        <v>40549</v>
      </c>
      <c r="C123" s="3">
        <v>1</v>
      </c>
      <c r="D123" s="3">
        <f t="shared" si="8"/>
        <v>2011</v>
      </c>
      <c r="E123" s="3">
        <v>1</v>
      </c>
      <c r="F123" s="3">
        <v>7</v>
      </c>
      <c r="G123" s="3" t="str">
        <f t="shared" si="9"/>
        <v>Morning</v>
      </c>
      <c r="H123" s="3" t="b">
        <v>0</v>
      </c>
      <c r="I123" s="3" t="str">
        <f t="shared" si="7"/>
        <v>Working day</v>
      </c>
      <c r="J123" s="3">
        <v>4</v>
      </c>
      <c r="K123" s="3" t="str">
        <f t="shared" si="10"/>
        <v>Friday</v>
      </c>
      <c r="L123" s="3">
        <v>2</v>
      </c>
      <c r="M123" s="3" t="str">
        <f t="shared" si="11"/>
        <v>Mild Cloudy</v>
      </c>
      <c r="N123" s="3">
        <v>0.16</v>
      </c>
      <c r="O123">
        <f t="shared" si="12"/>
        <v>16</v>
      </c>
    </row>
    <row r="124" spans="1:15" ht="13.2" x14ac:dyDescent="0.25">
      <c r="A124" s="3">
        <v>123</v>
      </c>
      <c r="B124" s="4">
        <v>40549</v>
      </c>
      <c r="C124" s="3">
        <v>1</v>
      </c>
      <c r="D124" s="3">
        <f t="shared" si="8"/>
        <v>2011</v>
      </c>
      <c r="E124" s="3">
        <v>1</v>
      </c>
      <c r="F124" s="3">
        <v>8</v>
      </c>
      <c r="G124" s="3" t="str">
        <f t="shared" si="9"/>
        <v>Morning</v>
      </c>
      <c r="H124" s="3" t="b">
        <v>0</v>
      </c>
      <c r="I124" s="3" t="str">
        <f t="shared" si="7"/>
        <v>Working day</v>
      </c>
      <c r="J124" s="3">
        <v>4</v>
      </c>
      <c r="K124" s="3" t="str">
        <f t="shared" si="10"/>
        <v>Friday</v>
      </c>
      <c r="L124" s="3">
        <v>1</v>
      </c>
      <c r="M124" s="3" t="str">
        <f t="shared" si="11"/>
        <v>Nice weather</v>
      </c>
      <c r="N124" s="3">
        <v>0.16</v>
      </c>
      <c r="O124">
        <f t="shared" si="12"/>
        <v>16</v>
      </c>
    </row>
    <row r="125" spans="1:15" ht="13.2" x14ac:dyDescent="0.25">
      <c r="A125" s="3">
        <v>124</v>
      </c>
      <c r="B125" s="4">
        <v>40549</v>
      </c>
      <c r="C125" s="3">
        <v>1</v>
      </c>
      <c r="D125" s="3">
        <f t="shared" si="8"/>
        <v>2011</v>
      </c>
      <c r="E125" s="3">
        <v>1</v>
      </c>
      <c r="F125" s="3">
        <v>9</v>
      </c>
      <c r="G125" s="3" t="str">
        <f t="shared" si="9"/>
        <v>Morning</v>
      </c>
      <c r="H125" s="3" t="b">
        <v>0</v>
      </c>
      <c r="I125" s="3" t="str">
        <f t="shared" si="7"/>
        <v>Working day</v>
      </c>
      <c r="J125" s="3">
        <v>4</v>
      </c>
      <c r="K125" s="3" t="str">
        <f t="shared" si="10"/>
        <v>Friday</v>
      </c>
      <c r="L125" s="3">
        <v>2</v>
      </c>
      <c r="M125" s="3" t="str">
        <f t="shared" si="11"/>
        <v>Mild Cloudy</v>
      </c>
      <c r="N125" s="3">
        <v>0.18</v>
      </c>
      <c r="O125">
        <f t="shared" si="12"/>
        <v>18</v>
      </c>
    </row>
    <row r="126" spans="1:15" ht="13.2" x14ac:dyDescent="0.25">
      <c r="A126" s="3">
        <v>125</v>
      </c>
      <c r="B126" s="4">
        <v>40549</v>
      </c>
      <c r="C126" s="3">
        <v>1</v>
      </c>
      <c r="D126" s="3">
        <f t="shared" si="8"/>
        <v>2011</v>
      </c>
      <c r="E126" s="3">
        <v>1</v>
      </c>
      <c r="F126" s="3">
        <v>10</v>
      </c>
      <c r="G126" s="3" t="str">
        <f t="shared" si="9"/>
        <v>Morning</v>
      </c>
      <c r="H126" s="3" t="b">
        <v>0</v>
      </c>
      <c r="I126" s="3" t="str">
        <f t="shared" si="7"/>
        <v>Working day</v>
      </c>
      <c r="J126" s="3">
        <v>4</v>
      </c>
      <c r="K126" s="3" t="str">
        <f t="shared" si="10"/>
        <v>Friday</v>
      </c>
      <c r="L126" s="3">
        <v>1</v>
      </c>
      <c r="M126" s="3" t="str">
        <f t="shared" si="11"/>
        <v>Nice weather</v>
      </c>
      <c r="N126" s="3">
        <v>0.2</v>
      </c>
      <c r="O126">
        <f t="shared" si="12"/>
        <v>20</v>
      </c>
    </row>
    <row r="127" spans="1:15" ht="13.2" x14ac:dyDescent="0.25">
      <c r="A127" s="3">
        <v>126</v>
      </c>
      <c r="B127" s="4">
        <v>40549</v>
      </c>
      <c r="C127" s="3">
        <v>1</v>
      </c>
      <c r="D127" s="3">
        <f t="shared" si="8"/>
        <v>2011</v>
      </c>
      <c r="E127" s="3">
        <v>1</v>
      </c>
      <c r="F127" s="3">
        <v>11</v>
      </c>
      <c r="G127" s="3" t="str">
        <f t="shared" si="9"/>
        <v>Morning</v>
      </c>
      <c r="H127" s="3" t="b">
        <v>0</v>
      </c>
      <c r="I127" s="3" t="str">
        <f t="shared" si="7"/>
        <v>Working day</v>
      </c>
      <c r="J127" s="3">
        <v>4</v>
      </c>
      <c r="K127" s="3" t="str">
        <f t="shared" si="10"/>
        <v>Friday</v>
      </c>
      <c r="L127" s="3">
        <v>1</v>
      </c>
      <c r="M127" s="3" t="str">
        <f t="shared" si="11"/>
        <v>Nice weather</v>
      </c>
      <c r="N127" s="3">
        <v>0.22</v>
      </c>
      <c r="O127">
        <f t="shared" si="12"/>
        <v>22</v>
      </c>
    </row>
    <row r="128" spans="1:15" ht="13.2" x14ac:dyDescent="0.25">
      <c r="A128" s="3">
        <v>127</v>
      </c>
      <c r="B128" s="4">
        <v>40549</v>
      </c>
      <c r="C128" s="3">
        <v>1</v>
      </c>
      <c r="D128" s="3">
        <f t="shared" si="8"/>
        <v>2011</v>
      </c>
      <c r="E128" s="3">
        <v>1</v>
      </c>
      <c r="F128" s="3">
        <v>12</v>
      </c>
      <c r="G128" s="3" t="str">
        <f t="shared" si="9"/>
        <v>Afternoon</v>
      </c>
      <c r="H128" s="3" t="b">
        <v>0</v>
      </c>
      <c r="I128" s="3" t="str">
        <f t="shared" si="7"/>
        <v>Working day</v>
      </c>
      <c r="J128" s="3">
        <v>4</v>
      </c>
      <c r="K128" s="3" t="str">
        <f t="shared" si="10"/>
        <v>Friday</v>
      </c>
      <c r="L128" s="3">
        <v>1</v>
      </c>
      <c r="M128" s="3" t="str">
        <f t="shared" si="11"/>
        <v>Nice weather</v>
      </c>
      <c r="N128" s="3">
        <v>0.26</v>
      </c>
      <c r="O128">
        <f t="shared" si="12"/>
        <v>26</v>
      </c>
    </row>
    <row r="129" spans="1:15" ht="13.2" x14ac:dyDescent="0.25">
      <c r="A129" s="3">
        <v>128</v>
      </c>
      <c r="B129" s="4">
        <v>40549</v>
      </c>
      <c r="C129" s="3">
        <v>1</v>
      </c>
      <c r="D129" s="3">
        <f t="shared" si="8"/>
        <v>2011</v>
      </c>
      <c r="E129" s="3">
        <v>1</v>
      </c>
      <c r="F129" s="3">
        <v>13</v>
      </c>
      <c r="G129" s="3" t="str">
        <f t="shared" si="9"/>
        <v>Afternoon</v>
      </c>
      <c r="H129" s="3" t="b">
        <v>0</v>
      </c>
      <c r="I129" s="3" t="str">
        <f t="shared" si="7"/>
        <v>Working day</v>
      </c>
      <c r="J129" s="3">
        <v>4</v>
      </c>
      <c r="K129" s="3" t="str">
        <f t="shared" si="10"/>
        <v>Friday</v>
      </c>
      <c r="L129" s="3">
        <v>1</v>
      </c>
      <c r="M129" s="3" t="str">
        <f t="shared" si="11"/>
        <v>Nice weather</v>
      </c>
      <c r="N129" s="3">
        <v>0.26</v>
      </c>
      <c r="O129">
        <f t="shared" si="12"/>
        <v>26</v>
      </c>
    </row>
    <row r="130" spans="1:15" ht="13.2" x14ac:dyDescent="0.25">
      <c r="A130" s="3">
        <v>129</v>
      </c>
      <c r="B130" s="4">
        <v>40549</v>
      </c>
      <c r="C130" s="3">
        <v>1</v>
      </c>
      <c r="D130" s="3">
        <f t="shared" si="8"/>
        <v>2011</v>
      </c>
      <c r="E130" s="3">
        <v>1</v>
      </c>
      <c r="F130" s="3">
        <v>14</v>
      </c>
      <c r="G130" s="3" t="str">
        <f t="shared" si="9"/>
        <v>Afternoon</v>
      </c>
      <c r="H130" s="3" t="b">
        <v>0</v>
      </c>
      <c r="I130" s="3" t="str">
        <f t="shared" ref="I130:I193" si="13">IF(H130=TRUE,"Holiday","Working day")</f>
        <v>Working day</v>
      </c>
      <c r="J130" s="3">
        <v>4</v>
      </c>
      <c r="K130" s="3" t="str">
        <f t="shared" si="10"/>
        <v>Friday</v>
      </c>
      <c r="L130" s="3">
        <v>1</v>
      </c>
      <c r="M130" s="3" t="str">
        <f t="shared" si="11"/>
        <v>Nice weather</v>
      </c>
      <c r="N130" s="3">
        <v>0.28000000000000003</v>
      </c>
      <c r="O130">
        <f t="shared" si="12"/>
        <v>28.000000000000004</v>
      </c>
    </row>
    <row r="131" spans="1:15" ht="13.2" x14ac:dyDescent="0.25">
      <c r="A131" s="3">
        <v>130</v>
      </c>
      <c r="B131" s="4">
        <v>40549</v>
      </c>
      <c r="C131" s="3">
        <v>1</v>
      </c>
      <c r="D131" s="3">
        <f t="shared" ref="D131:D194" si="14">YEAR(B131)</f>
        <v>2011</v>
      </c>
      <c r="E131" s="3">
        <v>1</v>
      </c>
      <c r="F131" s="3">
        <v>15</v>
      </c>
      <c r="G131" s="3" t="str">
        <f t="shared" ref="G131:G194" si="15">IF(AND(F131&gt;=0,F131&lt;6),"Night",IF(AND(F131&gt;=6,F131&lt;12),"Morning",IF(AND(F131&lt;18),"Afternoon","Evening")))</f>
        <v>Afternoon</v>
      </c>
      <c r="H131" s="3" t="b">
        <v>0</v>
      </c>
      <c r="I131" s="3" t="str">
        <f t="shared" si="13"/>
        <v>Working day</v>
      </c>
      <c r="J131" s="3">
        <v>4</v>
      </c>
      <c r="K131" s="3" t="str">
        <f t="shared" ref="K131:K194" si="16">CHOOSE(J131+1,"Monday","Tuesday","Wednesday","Thursday","Friday","Saturday","Sunday")</f>
        <v>Friday</v>
      </c>
      <c r="L131" s="3">
        <v>1</v>
      </c>
      <c r="M131" s="3" t="str">
        <f t="shared" ref="M131:M194" si="17">IF(L131=1,"Nice weather", IF(L131=2,"Mild Cloudy", IF(L131=3,"Dark Cloudy", IF(L131=4,"Thunderstrome","unknown"))))</f>
        <v>Nice weather</v>
      </c>
      <c r="N131" s="3">
        <v>0.28000000000000003</v>
      </c>
      <c r="O131">
        <f t="shared" ref="O131:O194" si="18">N131*100</f>
        <v>28.000000000000004</v>
      </c>
    </row>
    <row r="132" spans="1:15" ht="13.2" x14ac:dyDescent="0.25">
      <c r="A132" s="3">
        <v>131</v>
      </c>
      <c r="B132" s="4">
        <v>40549</v>
      </c>
      <c r="C132" s="3">
        <v>1</v>
      </c>
      <c r="D132" s="3">
        <f t="shared" si="14"/>
        <v>2011</v>
      </c>
      <c r="E132" s="3">
        <v>1</v>
      </c>
      <c r="F132" s="3">
        <v>16</v>
      </c>
      <c r="G132" s="3" t="str">
        <f t="shared" si="15"/>
        <v>Afternoon</v>
      </c>
      <c r="H132" s="3" t="b">
        <v>0</v>
      </c>
      <c r="I132" s="3" t="str">
        <f t="shared" si="13"/>
        <v>Working day</v>
      </c>
      <c r="J132" s="3">
        <v>4</v>
      </c>
      <c r="K132" s="3" t="str">
        <f t="shared" si="16"/>
        <v>Friday</v>
      </c>
      <c r="L132" s="3">
        <v>1</v>
      </c>
      <c r="M132" s="3" t="str">
        <f t="shared" si="17"/>
        <v>Nice weather</v>
      </c>
      <c r="N132" s="3">
        <v>0.26</v>
      </c>
      <c r="O132">
        <f t="shared" si="18"/>
        <v>26</v>
      </c>
    </row>
    <row r="133" spans="1:15" ht="13.2" x14ac:dyDescent="0.25">
      <c r="A133" s="3">
        <v>132</v>
      </c>
      <c r="B133" s="4">
        <v>40549</v>
      </c>
      <c r="C133" s="3">
        <v>1</v>
      </c>
      <c r="D133" s="3">
        <f t="shared" si="14"/>
        <v>2011</v>
      </c>
      <c r="E133" s="3">
        <v>1</v>
      </c>
      <c r="F133" s="3">
        <v>17</v>
      </c>
      <c r="G133" s="3" t="str">
        <f t="shared" si="15"/>
        <v>Afternoon</v>
      </c>
      <c r="H133" s="3" t="b">
        <v>0</v>
      </c>
      <c r="I133" s="3" t="str">
        <f t="shared" si="13"/>
        <v>Working day</v>
      </c>
      <c r="J133" s="3">
        <v>4</v>
      </c>
      <c r="K133" s="3" t="str">
        <f t="shared" si="16"/>
        <v>Friday</v>
      </c>
      <c r="L133" s="3">
        <v>1</v>
      </c>
      <c r="M133" s="3" t="str">
        <f t="shared" si="17"/>
        <v>Nice weather</v>
      </c>
      <c r="N133" s="3">
        <v>0.22</v>
      </c>
      <c r="O133">
        <f t="shared" si="18"/>
        <v>22</v>
      </c>
    </row>
    <row r="134" spans="1:15" ht="13.2" x14ac:dyDescent="0.25">
      <c r="A134" s="3">
        <v>133</v>
      </c>
      <c r="B134" s="4">
        <v>40549</v>
      </c>
      <c r="C134" s="3">
        <v>1</v>
      </c>
      <c r="D134" s="3">
        <f t="shared" si="14"/>
        <v>2011</v>
      </c>
      <c r="E134" s="3">
        <v>1</v>
      </c>
      <c r="F134" s="3">
        <v>18</v>
      </c>
      <c r="G134" s="3" t="str">
        <f t="shared" si="15"/>
        <v>Evening</v>
      </c>
      <c r="H134" s="3" t="b">
        <v>0</v>
      </c>
      <c r="I134" s="3" t="str">
        <f t="shared" si="13"/>
        <v>Working day</v>
      </c>
      <c r="J134" s="3">
        <v>4</v>
      </c>
      <c r="K134" s="3" t="str">
        <f t="shared" si="16"/>
        <v>Friday</v>
      </c>
      <c r="L134" s="3">
        <v>1</v>
      </c>
      <c r="M134" s="3" t="str">
        <f t="shared" si="17"/>
        <v>Nice weather</v>
      </c>
      <c r="N134" s="3">
        <v>0.22</v>
      </c>
      <c r="O134">
        <f t="shared" si="18"/>
        <v>22</v>
      </c>
    </row>
    <row r="135" spans="1:15" ht="13.2" x14ac:dyDescent="0.25">
      <c r="A135" s="3">
        <v>134</v>
      </c>
      <c r="B135" s="4">
        <v>40549</v>
      </c>
      <c r="C135" s="3">
        <v>1</v>
      </c>
      <c r="D135" s="3">
        <f t="shared" si="14"/>
        <v>2011</v>
      </c>
      <c r="E135" s="3">
        <v>1</v>
      </c>
      <c r="F135" s="3">
        <v>19</v>
      </c>
      <c r="G135" s="3" t="str">
        <f t="shared" si="15"/>
        <v>Evening</v>
      </c>
      <c r="H135" s="3" t="b">
        <v>0</v>
      </c>
      <c r="I135" s="3" t="str">
        <f t="shared" si="13"/>
        <v>Working day</v>
      </c>
      <c r="J135" s="3">
        <v>4</v>
      </c>
      <c r="K135" s="3" t="str">
        <f t="shared" si="16"/>
        <v>Friday</v>
      </c>
      <c r="L135" s="3">
        <v>1</v>
      </c>
      <c r="M135" s="3" t="str">
        <f t="shared" si="17"/>
        <v>Nice weather</v>
      </c>
      <c r="N135" s="3">
        <v>0.22</v>
      </c>
      <c r="O135">
        <f t="shared" si="18"/>
        <v>22</v>
      </c>
    </row>
    <row r="136" spans="1:15" ht="13.2" x14ac:dyDescent="0.25">
      <c r="A136" s="3">
        <v>135</v>
      </c>
      <c r="B136" s="4">
        <v>40549</v>
      </c>
      <c r="C136" s="3">
        <v>1</v>
      </c>
      <c r="D136" s="3">
        <f t="shared" si="14"/>
        <v>2011</v>
      </c>
      <c r="E136" s="3">
        <v>1</v>
      </c>
      <c r="F136" s="3">
        <v>20</v>
      </c>
      <c r="G136" s="3" t="str">
        <f t="shared" si="15"/>
        <v>Evening</v>
      </c>
      <c r="H136" s="3" t="b">
        <v>0</v>
      </c>
      <c r="I136" s="3" t="str">
        <f t="shared" si="13"/>
        <v>Working day</v>
      </c>
      <c r="J136" s="3">
        <v>4</v>
      </c>
      <c r="K136" s="3" t="str">
        <f t="shared" si="16"/>
        <v>Friday</v>
      </c>
      <c r="L136" s="3">
        <v>1</v>
      </c>
      <c r="M136" s="3" t="str">
        <f t="shared" si="17"/>
        <v>Nice weather</v>
      </c>
      <c r="N136" s="3">
        <v>0.2</v>
      </c>
      <c r="O136">
        <f t="shared" si="18"/>
        <v>20</v>
      </c>
    </row>
    <row r="137" spans="1:15" ht="13.2" x14ac:dyDescent="0.25">
      <c r="A137" s="3">
        <v>136</v>
      </c>
      <c r="B137" s="4">
        <v>40549</v>
      </c>
      <c r="C137" s="3">
        <v>1</v>
      </c>
      <c r="D137" s="3">
        <f t="shared" si="14"/>
        <v>2011</v>
      </c>
      <c r="E137" s="3">
        <v>1</v>
      </c>
      <c r="F137" s="3">
        <v>21</v>
      </c>
      <c r="G137" s="3" t="str">
        <f t="shared" si="15"/>
        <v>Evening</v>
      </c>
      <c r="H137" s="3" t="b">
        <v>0</v>
      </c>
      <c r="I137" s="3" t="str">
        <f t="shared" si="13"/>
        <v>Working day</v>
      </c>
      <c r="J137" s="3">
        <v>4</v>
      </c>
      <c r="K137" s="3" t="str">
        <f t="shared" si="16"/>
        <v>Friday</v>
      </c>
      <c r="L137" s="3">
        <v>2</v>
      </c>
      <c r="M137" s="3" t="str">
        <f t="shared" si="17"/>
        <v>Mild Cloudy</v>
      </c>
      <c r="N137" s="3">
        <v>0.22</v>
      </c>
      <c r="O137">
        <f t="shared" si="18"/>
        <v>22</v>
      </c>
    </row>
    <row r="138" spans="1:15" ht="13.2" x14ac:dyDescent="0.25">
      <c r="A138" s="3">
        <v>137</v>
      </c>
      <c r="B138" s="4">
        <v>40549</v>
      </c>
      <c r="C138" s="3">
        <v>1</v>
      </c>
      <c r="D138" s="3">
        <f t="shared" si="14"/>
        <v>2011</v>
      </c>
      <c r="E138" s="3">
        <v>1</v>
      </c>
      <c r="F138" s="3">
        <v>22</v>
      </c>
      <c r="G138" s="3" t="str">
        <f t="shared" si="15"/>
        <v>Evening</v>
      </c>
      <c r="H138" s="3" t="b">
        <v>0</v>
      </c>
      <c r="I138" s="3" t="str">
        <f t="shared" si="13"/>
        <v>Working day</v>
      </c>
      <c r="J138" s="3">
        <v>4</v>
      </c>
      <c r="K138" s="3" t="str">
        <f t="shared" si="16"/>
        <v>Friday</v>
      </c>
      <c r="L138" s="3">
        <v>2</v>
      </c>
      <c r="M138" s="3" t="str">
        <f t="shared" si="17"/>
        <v>Mild Cloudy</v>
      </c>
      <c r="N138" s="3">
        <v>0.22</v>
      </c>
      <c r="O138">
        <f t="shared" si="18"/>
        <v>22</v>
      </c>
    </row>
    <row r="139" spans="1:15" ht="13.2" x14ac:dyDescent="0.25">
      <c r="A139" s="3">
        <v>138</v>
      </c>
      <c r="B139" s="4">
        <v>40549</v>
      </c>
      <c r="C139" s="3">
        <v>1</v>
      </c>
      <c r="D139" s="3">
        <f t="shared" si="14"/>
        <v>2011</v>
      </c>
      <c r="E139" s="3">
        <v>1</v>
      </c>
      <c r="F139" s="3">
        <v>23</v>
      </c>
      <c r="G139" s="3" t="str">
        <f t="shared" si="15"/>
        <v>Evening</v>
      </c>
      <c r="H139" s="3" t="b">
        <v>0</v>
      </c>
      <c r="I139" s="3" t="str">
        <f t="shared" si="13"/>
        <v>Working day</v>
      </c>
      <c r="J139" s="3">
        <v>4</v>
      </c>
      <c r="K139" s="3" t="str">
        <f t="shared" si="16"/>
        <v>Friday</v>
      </c>
      <c r="L139" s="3">
        <v>2</v>
      </c>
      <c r="M139" s="3" t="str">
        <f t="shared" si="17"/>
        <v>Mild Cloudy</v>
      </c>
      <c r="N139" s="3">
        <v>0.2</v>
      </c>
      <c r="O139">
        <f t="shared" si="18"/>
        <v>20</v>
      </c>
    </row>
    <row r="140" spans="1:15" ht="13.2" x14ac:dyDescent="0.25">
      <c r="A140" s="3">
        <v>139</v>
      </c>
      <c r="B140" s="4">
        <v>40550</v>
      </c>
      <c r="C140" s="3">
        <v>1</v>
      </c>
      <c r="D140" s="3">
        <f t="shared" si="14"/>
        <v>2011</v>
      </c>
      <c r="E140" s="3">
        <v>1</v>
      </c>
      <c r="F140" s="3">
        <v>0</v>
      </c>
      <c r="G140" s="3" t="str">
        <f t="shared" si="15"/>
        <v>Night</v>
      </c>
      <c r="H140" s="3" t="b">
        <v>0</v>
      </c>
      <c r="I140" s="3" t="str">
        <f t="shared" si="13"/>
        <v>Working day</v>
      </c>
      <c r="J140" s="3">
        <v>5</v>
      </c>
      <c r="K140" s="3" t="str">
        <f t="shared" si="16"/>
        <v>Saturday</v>
      </c>
      <c r="L140" s="3">
        <v>2</v>
      </c>
      <c r="M140" s="3" t="str">
        <f t="shared" si="17"/>
        <v>Mild Cloudy</v>
      </c>
      <c r="N140" s="3">
        <v>0.2</v>
      </c>
      <c r="O140">
        <f t="shared" si="18"/>
        <v>20</v>
      </c>
    </row>
    <row r="141" spans="1:15" ht="13.2" x14ac:dyDescent="0.25">
      <c r="A141" s="3">
        <v>140</v>
      </c>
      <c r="B141" s="4">
        <v>40550</v>
      </c>
      <c r="C141" s="3">
        <v>1</v>
      </c>
      <c r="D141" s="3">
        <f t="shared" si="14"/>
        <v>2011</v>
      </c>
      <c r="E141" s="3">
        <v>1</v>
      </c>
      <c r="F141" s="3">
        <v>1</v>
      </c>
      <c r="G141" s="3" t="str">
        <f t="shared" si="15"/>
        <v>Night</v>
      </c>
      <c r="H141" s="3" t="b">
        <v>0</v>
      </c>
      <c r="I141" s="3" t="str">
        <f t="shared" si="13"/>
        <v>Working day</v>
      </c>
      <c r="J141" s="3">
        <v>5</v>
      </c>
      <c r="K141" s="3" t="str">
        <f t="shared" si="16"/>
        <v>Saturday</v>
      </c>
      <c r="L141" s="3">
        <v>2</v>
      </c>
      <c r="M141" s="3" t="str">
        <f t="shared" si="17"/>
        <v>Mild Cloudy</v>
      </c>
      <c r="N141" s="3">
        <v>0.2</v>
      </c>
      <c r="O141">
        <f t="shared" si="18"/>
        <v>20</v>
      </c>
    </row>
    <row r="142" spans="1:15" ht="13.2" x14ac:dyDescent="0.25">
      <c r="A142" s="3">
        <v>141</v>
      </c>
      <c r="B142" s="4">
        <v>40550</v>
      </c>
      <c r="C142" s="3">
        <v>1</v>
      </c>
      <c r="D142" s="3">
        <f t="shared" si="14"/>
        <v>2011</v>
      </c>
      <c r="E142" s="3">
        <v>1</v>
      </c>
      <c r="F142" s="3">
        <v>2</v>
      </c>
      <c r="G142" s="3" t="str">
        <f t="shared" si="15"/>
        <v>Night</v>
      </c>
      <c r="H142" s="3" t="b">
        <v>0</v>
      </c>
      <c r="I142" s="3" t="str">
        <f t="shared" si="13"/>
        <v>Working day</v>
      </c>
      <c r="J142" s="3">
        <v>5</v>
      </c>
      <c r="K142" s="3" t="str">
        <f t="shared" si="16"/>
        <v>Saturday</v>
      </c>
      <c r="L142" s="3">
        <v>2</v>
      </c>
      <c r="M142" s="3" t="str">
        <f t="shared" si="17"/>
        <v>Mild Cloudy</v>
      </c>
      <c r="N142" s="3">
        <v>0.2</v>
      </c>
      <c r="O142">
        <f t="shared" si="18"/>
        <v>20</v>
      </c>
    </row>
    <row r="143" spans="1:15" ht="13.2" x14ac:dyDescent="0.25">
      <c r="A143" s="3">
        <v>142</v>
      </c>
      <c r="B143" s="4">
        <v>40550</v>
      </c>
      <c r="C143" s="3">
        <v>1</v>
      </c>
      <c r="D143" s="3">
        <f t="shared" si="14"/>
        <v>2011</v>
      </c>
      <c r="E143" s="3">
        <v>1</v>
      </c>
      <c r="F143" s="3">
        <v>4</v>
      </c>
      <c r="G143" s="3" t="str">
        <f t="shared" si="15"/>
        <v>Night</v>
      </c>
      <c r="H143" s="3" t="b">
        <v>0</v>
      </c>
      <c r="I143" s="3" t="str">
        <f t="shared" si="13"/>
        <v>Working day</v>
      </c>
      <c r="J143" s="3">
        <v>5</v>
      </c>
      <c r="K143" s="3" t="str">
        <f t="shared" si="16"/>
        <v>Saturday</v>
      </c>
      <c r="L143" s="3">
        <v>2</v>
      </c>
      <c r="M143" s="3" t="str">
        <f t="shared" si="17"/>
        <v>Mild Cloudy</v>
      </c>
      <c r="N143" s="3">
        <v>0.2</v>
      </c>
      <c r="O143">
        <f t="shared" si="18"/>
        <v>20</v>
      </c>
    </row>
    <row r="144" spans="1:15" ht="13.2" x14ac:dyDescent="0.25">
      <c r="A144" s="3">
        <v>143</v>
      </c>
      <c r="B144" s="4">
        <v>40550</v>
      </c>
      <c r="C144" s="3">
        <v>1</v>
      </c>
      <c r="D144" s="3">
        <f t="shared" si="14"/>
        <v>2011</v>
      </c>
      <c r="E144" s="3">
        <v>1</v>
      </c>
      <c r="F144" s="3">
        <v>5</v>
      </c>
      <c r="G144" s="3" t="str">
        <f t="shared" si="15"/>
        <v>Night</v>
      </c>
      <c r="H144" s="3" t="b">
        <v>0</v>
      </c>
      <c r="I144" s="3" t="str">
        <f t="shared" si="13"/>
        <v>Working day</v>
      </c>
      <c r="J144" s="3">
        <v>5</v>
      </c>
      <c r="K144" s="3" t="str">
        <f t="shared" si="16"/>
        <v>Saturday</v>
      </c>
      <c r="L144" s="3">
        <v>3</v>
      </c>
      <c r="M144" s="3" t="str">
        <f t="shared" si="17"/>
        <v>Dark Cloudy</v>
      </c>
      <c r="N144" s="3">
        <v>0.22</v>
      </c>
      <c r="O144">
        <f t="shared" si="18"/>
        <v>22</v>
      </c>
    </row>
    <row r="145" spans="1:15" ht="13.2" x14ac:dyDescent="0.25">
      <c r="A145" s="3">
        <v>144</v>
      </c>
      <c r="B145" s="4">
        <v>40550</v>
      </c>
      <c r="C145" s="3">
        <v>1</v>
      </c>
      <c r="D145" s="3">
        <f t="shared" si="14"/>
        <v>2011</v>
      </c>
      <c r="E145" s="3">
        <v>1</v>
      </c>
      <c r="F145" s="3">
        <v>6</v>
      </c>
      <c r="G145" s="3" t="str">
        <f t="shared" si="15"/>
        <v>Morning</v>
      </c>
      <c r="H145" s="3" t="b">
        <v>0</v>
      </c>
      <c r="I145" s="3" t="str">
        <f t="shared" si="13"/>
        <v>Working day</v>
      </c>
      <c r="J145" s="3">
        <v>5</v>
      </c>
      <c r="K145" s="3" t="str">
        <f t="shared" si="16"/>
        <v>Saturday</v>
      </c>
      <c r="L145" s="3">
        <v>2</v>
      </c>
      <c r="M145" s="3" t="str">
        <f t="shared" si="17"/>
        <v>Mild Cloudy</v>
      </c>
      <c r="N145" s="3">
        <v>0.2</v>
      </c>
      <c r="O145">
        <f t="shared" si="18"/>
        <v>20</v>
      </c>
    </row>
    <row r="146" spans="1:15" ht="13.2" x14ac:dyDescent="0.25">
      <c r="A146" s="3">
        <v>145</v>
      </c>
      <c r="B146" s="4">
        <v>40550</v>
      </c>
      <c r="C146" s="3">
        <v>1</v>
      </c>
      <c r="D146" s="3">
        <f t="shared" si="14"/>
        <v>2011</v>
      </c>
      <c r="E146" s="3">
        <v>1</v>
      </c>
      <c r="F146" s="3">
        <v>7</v>
      </c>
      <c r="G146" s="3" t="str">
        <f t="shared" si="15"/>
        <v>Morning</v>
      </c>
      <c r="H146" s="3" t="b">
        <v>0</v>
      </c>
      <c r="I146" s="3" t="str">
        <f t="shared" si="13"/>
        <v>Working day</v>
      </c>
      <c r="J146" s="3">
        <v>5</v>
      </c>
      <c r="K146" s="3" t="str">
        <f t="shared" si="16"/>
        <v>Saturday</v>
      </c>
      <c r="L146" s="3">
        <v>1</v>
      </c>
      <c r="M146" s="3" t="str">
        <f t="shared" si="17"/>
        <v>Nice weather</v>
      </c>
      <c r="N146" s="3">
        <v>0.2</v>
      </c>
      <c r="O146">
        <f t="shared" si="18"/>
        <v>20</v>
      </c>
    </row>
    <row r="147" spans="1:15" ht="13.2" x14ac:dyDescent="0.25">
      <c r="A147" s="3">
        <v>146</v>
      </c>
      <c r="B147" s="4">
        <v>40550</v>
      </c>
      <c r="C147" s="3">
        <v>1</v>
      </c>
      <c r="D147" s="3">
        <f t="shared" si="14"/>
        <v>2011</v>
      </c>
      <c r="E147" s="3">
        <v>1</v>
      </c>
      <c r="F147" s="3">
        <v>8</v>
      </c>
      <c r="G147" s="3" t="str">
        <f t="shared" si="15"/>
        <v>Morning</v>
      </c>
      <c r="H147" s="3" t="b">
        <v>0</v>
      </c>
      <c r="I147" s="3" t="str">
        <f t="shared" si="13"/>
        <v>Working day</v>
      </c>
      <c r="J147" s="3">
        <v>5</v>
      </c>
      <c r="K147" s="3" t="str">
        <f t="shared" si="16"/>
        <v>Saturday</v>
      </c>
      <c r="L147" s="3">
        <v>1</v>
      </c>
      <c r="M147" s="3" t="str">
        <f t="shared" si="17"/>
        <v>Nice weather</v>
      </c>
      <c r="N147" s="3">
        <v>0.2</v>
      </c>
      <c r="O147">
        <f t="shared" si="18"/>
        <v>20</v>
      </c>
    </row>
    <row r="148" spans="1:15" ht="13.2" x14ac:dyDescent="0.25">
      <c r="A148" s="3">
        <v>147</v>
      </c>
      <c r="B148" s="4">
        <v>40550</v>
      </c>
      <c r="C148" s="3">
        <v>1</v>
      </c>
      <c r="D148" s="3">
        <f t="shared" si="14"/>
        <v>2011</v>
      </c>
      <c r="E148" s="3">
        <v>1</v>
      </c>
      <c r="F148" s="3">
        <v>9</v>
      </c>
      <c r="G148" s="3" t="str">
        <f t="shared" si="15"/>
        <v>Morning</v>
      </c>
      <c r="H148" s="3" t="b">
        <v>0</v>
      </c>
      <c r="I148" s="3" t="str">
        <f t="shared" si="13"/>
        <v>Working day</v>
      </c>
      <c r="J148" s="3">
        <v>5</v>
      </c>
      <c r="K148" s="3" t="str">
        <f t="shared" si="16"/>
        <v>Saturday</v>
      </c>
      <c r="L148" s="3">
        <v>1</v>
      </c>
      <c r="M148" s="3" t="str">
        <f t="shared" si="17"/>
        <v>Nice weather</v>
      </c>
      <c r="N148" s="3">
        <v>0.2</v>
      </c>
      <c r="O148">
        <f t="shared" si="18"/>
        <v>20</v>
      </c>
    </row>
    <row r="149" spans="1:15" ht="13.2" x14ac:dyDescent="0.25">
      <c r="A149" s="3">
        <v>148</v>
      </c>
      <c r="B149" s="4">
        <v>40550</v>
      </c>
      <c r="C149" s="3">
        <v>1</v>
      </c>
      <c r="D149" s="3">
        <f t="shared" si="14"/>
        <v>2011</v>
      </c>
      <c r="E149" s="3">
        <v>1</v>
      </c>
      <c r="F149" s="3">
        <v>10</v>
      </c>
      <c r="G149" s="3" t="str">
        <f t="shared" si="15"/>
        <v>Morning</v>
      </c>
      <c r="H149" s="3" t="b">
        <v>0</v>
      </c>
      <c r="I149" s="3" t="str">
        <f t="shared" si="13"/>
        <v>Working day</v>
      </c>
      <c r="J149" s="3">
        <v>5</v>
      </c>
      <c r="K149" s="3" t="str">
        <f t="shared" si="16"/>
        <v>Saturday</v>
      </c>
      <c r="L149" s="3">
        <v>1</v>
      </c>
      <c r="M149" s="3" t="str">
        <f t="shared" si="17"/>
        <v>Nice weather</v>
      </c>
      <c r="N149" s="3">
        <v>0.22</v>
      </c>
      <c r="O149">
        <f t="shared" si="18"/>
        <v>22</v>
      </c>
    </row>
    <row r="150" spans="1:15" ht="13.2" x14ac:dyDescent="0.25">
      <c r="A150" s="3">
        <v>149</v>
      </c>
      <c r="B150" s="4">
        <v>40550</v>
      </c>
      <c r="C150" s="3">
        <v>1</v>
      </c>
      <c r="D150" s="3">
        <f t="shared" si="14"/>
        <v>2011</v>
      </c>
      <c r="E150" s="3">
        <v>1</v>
      </c>
      <c r="F150" s="3">
        <v>11</v>
      </c>
      <c r="G150" s="3" t="str">
        <f t="shared" si="15"/>
        <v>Morning</v>
      </c>
      <c r="H150" s="3" t="b">
        <v>0</v>
      </c>
      <c r="I150" s="3" t="str">
        <f t="shared" si="13"/>
        <v>Working day</v>
      </c>
      <c r="J150" s="3">
        <v>5</v>
      </c>
      <c r="K150" s="3" t="str">
        <f t="shared" si="16"/>
        <v>Saturday</v>
      </c>
      <c r="L150" s="3">
        <v>2</v>
      </c>
      <c r="M150" s="3" t="str">
        <f t="shared" si="17"/>
        <v>Mild Cloudy</v>
      </c>
      <c r="N150" s="3">
        <v>0.2</v>
      </c>
      <c r="O150">
        <f t="shared" si="18"/>
        <v>20</v>
      </c>
    </row>
    <row r="151" spans="1:15" ht="13.2" x14ac:dyDescent="0.25">
      <c r="A151" s="3">
        <v>150</v>
      </c>
      <c r="B151" s="4">
        <v>40550</v>
      </c>
      <c r="C151" s="3">
        <v>1</v>
      </c>
      <c r="D151" s="3">
        <f t="shared" si="14"/>
        <v>2011</v>
      </c>
      <c r="E151" s="3">
        <v>1</v>
      </c>
      <c r="F151" s="3">
        <v>12</v>
      </c>
      <c r="G151" s="3" t="str">
        <f t="shared" si="15"/>
        <v>Afternoon</v>
      </c>
      <c r="H151" s="3" t="b">
        <v>0</v>
      </c>
      <c r="I151" s="3" t="str">
        <f t="shared" si="13"/>
        <v>Working day</v>
      </c>
      <c r="J151" s="3">
        <v>5</v>
      </c>
      <c r="K151" s="3" t="str">
        <f t="shared" si="16"/>
        <v>Saturday</v>
      </c>
      <c r="L151" s="3">
        <v>2</v>
      </c>
      <c r="M151" s="3" t="str">
        <f t="shared" si="17"/>
        <v>Mild Cloudy</v>
      </c>
      <c r="N151" s="3">
        <v>0.2</v>
      </c>
      <c r="O151">
        <f t="shared" si="18"/>
        <v>20</v>
      </c>
    </row>
    <row r="152" spans="1:15" ht="13.2" x14ac:dyDescent="0.25">
      <c r="A152" s="3">
        <v>151</v>
      </c>
      <c r="B152" s="4">
        <v>40550</v>
      </c>
      <c r="C152" s="3">
        <v>1</v>
      </c>
      <c r="D152" s="3">
        <f t="shared" si="14"/>
        <v>2011</v>
      </c>
      <c r="E152" s="3">
        <v>1</v>
      </c>
      <c r="F152" s="3">
        <v>13</v>
      </c>
      <c r="G152" s="3" t="str">
        <f t="shared" si="15"/>
        <v>Afternoon</v>
      </c>
      <c r="H152" s="3" t="b">
        <v>0</v>
      </c>
      <c r="I152" s="3" t="str">
        <f t="shared" si="13"/>
        <v>Working day</v>
      </c>
      <c r="J152" s="3">
        <v>5</v>
      </c>
      <c r="K152" s="3" t="str">
        <f t="shared" si="16"/>
        <v>Saturday</v>
      </c>
      <c r="L152" s="3">
        <v>2</v>
      </c>
      <c r="M152" s="3" t="str">
        <f t="shared" si="17"/>
        <v>Mild Cloudy</v>
      </c>
      <c r="N152" s="3">
        <v>0.2</v>
      </c>
      <c r="O152">
        <f t="shared" si="18"/>
        <v>20</v>
      </c>
    </row>
    <row r="153" spans="1:15" ht="13.2" x14ac:dyDescent="0.25">
      <c r="A153" s="3">
        <v>152</v>
      </c>
      <c r="B153" s="4">
        <v>40550</v>
      </c>
      <c r="C153" s="3">
        <v>1</v>
      </c>
      <c r="D153" s="3">
        <f t="shared" si="14"/>
        <v>2011</v>
      </c>
      <c r="E153" s="3">
        <v>1</v>
      </c>
      <c r="F153" s="3">
        <v>14</v>
      </c>
      <c r="G153" s="3" t="str">
        <f t="shared" si="15"/>
        <v>Afternoon</v>
      </c>
      <c r="H153" s="3" t="b">
        <v>0</v>
      </c>
      <c r="I153" s="3" t="str">
        <f t="shared" si="13"/>
        <v>Working day</v>
      </c>
      <c r="J153" s="3">
        <v>5</v>
      </c>
      <c r="K153" s="3" t="str">
        <f t="shared" si="16"/>
        <v>Saturday</v>
      </c>
      <c r="L153" s="3">
        <v>2</v>
      </c>
      <c r="M153" s="3" t="str">
        <f t="shared" si="17"/>
        <v>Mild Cloudy</v>
      </c>
      <c r="N153" s="3">
        <v>0.2</v>
      </c>
      <c r="O153">
        <f t="shared" si="18"/>
        <v>20</v>
      </c>
    </row>
    <row r="154" spans="1:15" ht="13.2" x14ac:dyDescent="0.25">
      <c r="A154" s="3">
        <v>153</v>
      </c>
      <c r="B154" s="4">
        <v>40550</v>
      </c>
      <c r="C154" s="3">
        <v>1</v>
      </c>
      <c r="D154" s="3">
        <f t="shared" si="14"/>
        <v>2011</v>
      </c>
      <c r="E154" s="3">
        <v>1</v>
      </c>
      <c r="F154" s="3">
        <v>15</v>
      </c>
      <c r="G154" s="3" t="str">
        <f t="shared" si="15"/>
        <v>Afternoon</v>
      </c>
      <c r="H154" s="3" t="b">
        <v>0</v>
      </c>
      <c r="I154" s="3" t="str">
        <f t="shared" si="13"/>
        <v>Working day</v>
      </c>
      <c r="J154" s="3">
        <v>5</v>
      </c>
      <c r="K154" s="3" t="str">
        <f t="shared" si="16"/>
        <v>Saturday</v>
      </c>
      <c r="L154" s="3">
        <v>2</v>
      </c>
      <c r="M154" s="3" t="str">
        <f t="shared" si="17"/>
        <v>Mild Cloudy</v>
      </c>
      <c r="N154" s="3">
        <v>0.2</v>
      </c>
      <c r="O154">
        <f t="shared" si="18"/>
        <v>20</v>
      </c>
    </row>
    <row r="155" spans="1:15" ht="13.2" x14ac:dyDescent="0.25">
      <c r="A155" s="3">
        <v>154</v>
      </c>
      <c r="B155" s="4">
        <v>40550</v>
      </c>
      <c r="C155" s="3">
        <v>1</v>
      </c>
      <c r="D155" s="3">
        <f t="shared" si="14"/>
        <v>2011</v>
      </c>
      <c r="E155" s="3">
        <v>1</v>
      </c>
      <c r="F155" s="3">
        <v>16</v>
      </c>
      <c r="G155" s="3" t="str">
        <f t="shared" si="15"/>
        <v>Afternoon</v>
      </c>
      <c r="H155" s="3" t="b">
        <v>0</v>
      </c>
      <c r="I155" s="3" t="str">
        <f t="shared" si="13"/>
        <v>Working day</v>
      </c>
      <c r="J155" s="3">
        <v>5</v>
      </c>
      <c r="K155" s="3" t="str">
        <f t="shared" si="16"/>
        <v>Saturday</v>
      </c>
      <c r="L155" s="3">
        <v>2</v>
      </c>
      <c r="M155" s="3" t="str">
        <f t="shared" si="17"/>
        <v>Mild Cloudy</v>
      </c>
      <c r="N155" s="3">
        <v>0.2</v>
      </c>
      <c r="O155">
        <f t="shared" si="18"/>
        <v>20</v>
      </c>
    </row>
    <row r="156" spans="1:15" ht="13.2" x14ac:dyDescent="0.25">
      <c r="A156" s="3">
        <v>155</v>
      </c>
      <c r="B156" s="4">
        <v>40550</v>
      </c>
      <c r="C156" s="3">
        <v>1</v>
      </c>
      <c r="D156" s="3">
        <f t="shared" si="14"/>
        <v>2011</v>
      </c>
      <c r="E156" s="3">
        <v>1</v>
      </c>
      <c r="F156" s="3">
        <v>17</v>
      </c>
      <c r="G156" s="3" t="str">
        <f t="shared" si="15"/>
        <v>Afternoon</v>
      </c>
      <c r="H156" s="3" t="b">
        <v>0</v>
      </c>
      <c r="I156" s="3" t="str">
        <f t="shared" si="13"/>
        <v>Working day</v>
      </c>
      <c r="J156" s="3">
        <v>5</v>
      </c>
      <c r="K156" s="3" t="str">
        <f t="shared" si="16"/>
        <v>Saturday</v>
      </c>
      <c r="L156" s="3">
        <v>2</v>
      </c>
      <c r="M156" s="3" t="str">
        <f t="shared" si="17"/>
        <v>Mild Cloudy</v>
      </c>
      <c r="N156" s="3">
        <v>0.2</v>
      </c>
      <c r="O156">
        <f t="shared" si="18"/>
        <v>20</v>
      </c>
    </row>
    <row r="157" spans="1:15" ht="13.2" x14ac:dyDescent="0.25">
      <c r="A157" s="3">
        <v>156</v>
      </c>
      <c r="B157" s="4">
        <v>40550</v>
      </c>
      <c r="C157" s="3">
        <v>1</v>
      </c>
      <c r="D157" s="3">
        <f t="shared" si="14"/>
        <v>2011</v>
      </c>
      <c r="E157" s="3">
        <v>1</v>
      </c>
      <c r="F157" s="3">
        <v>18</v>
      </c>
      <c r="G157" s="3" t="str">
        <f t="shared" si="15"/>
        <v>Evening</v>
      </c>
      <c r="H157" s="3" t="b">
        <v>0</v>
      </c>
      <c r="I157" s="3" t="str">
        <f t="shared" si="13"/>
        <v>Working day</v>
      </c>
      <c r="J157" s="3">
        <v>5</v>
      </c>
      <c r="K157" s="3" t="str">
        <f t="shared" si="16"/>
        <v>Saturday</v>
      </c>
      <c r="L157" s="3">
        <v>1</v>
      </c>
      <c r="M157" s="3" t="str">
        <f t="shared" si="17"/>
        <v>Nice weather</v>
      </c>
      <c r="N157" s="3">
        <v>0.2</v>
      </c>
      <c r="O157">
        <f t="shared" si="18"/>
        <v>20</v>
      </c>
    </row>
    <row r="158" spans="1:15" ht="13.2" x14ac:dyDescent="0.25">
      <c r="A158" s="3">
        <v>157</v>
      </c>
      <c r="B158" s="4">
        <v>40550</v>
      </c>
      <c r="C158" s="3">
        <v>1</v>
      </c>
      <c r="D158" s="3">
        <f t="shared" si="14"/>
        <v>2011</v>
      </c>
      <c r="E158" s="3">
        <v>1</v>
      </c>
      <c r="F158" s="3">
        <v>19</v>
      </c>
      <c r="G158" s="3" t="str">
        <f t="shared" si="15"/>
        <v>Evening</v>
      </c>
      <c r="H158" s="3" t="b">
        <v>0</v>
      </c>
      <c r="I158" s="3" t="str">
        <f t="shared" si="13"/>
        <v>Working day</v>
      </c>
      <c r="J158" s="3">
        <v>5</v>
      </c>
      <c r="K158" s="3" t="str">
        <f t="shared" si="16"/>
        <v>Saturday</v>
      </c>
      <c r="L158" s="3">
        <v>1</v>
      </c>
      <c r="M158" s="3" t="str">
        <f t="shared" si="17"/>
        <v>Nice weather</v>
      </c>
      <c r="N158" s="3">
        <v>0.16</v>
      </c>
      <c r="O158">
        <f t="shared" si="18"/>
        <v>16</v>
      </c>
    </row>
    <row r="159" spans="1:15" ht="13.2" x14ac:dyDescent="0.25">
      <c r="A159" s="3">
        <v>158</v>
      </c>
      <c r="B159" s="4">
        <v>40550</v>
      </c>
      <c r="C159" s="3">
        <v>1</v>
      </c>
      <c r="D159" s="3">
        <f t="shared" si="14"/>
        <v>2011</v>
      </c>
      <c r="E159" s="3">
        <v>1</v>
      </c>
      <c r="F159" s="3">
        <v>20</v>
      </c>
      <c r="G159" s="3" t="str">
        <f t="shared" si="15"/>
        <v>Evening</v>
      </c>
      <c r="H159" s="3" t="b">
        <v>0</v>
      </c>
      <c r="I159" s="3" t="str">
        <f t="shared" si="13"/>
        <v>Working day</v>
      </c>
      <c r="J159" s="3">
        <v>5</v>
      </c>
      <c r="K159" s="3" t="str">
        <f t="shared" si="16"/>
        <v>Saturday</v>
      </c>
      <c r="L159" s="3">
        <v>1</v>
      </c>
      <c r="M159" s="3" t="str">
        <f t="shared" si="17"/>
        <v>Nice weather</v>
      </c>
      <c r="N159" s="3">
        <v>0.18</v>
      </c>
      <c r="O159">
        <f t="shared" si="18"/>
        <v>18</v>
      </c>
    </row>
    <row r="160" spans="1:15" ht="13.2" x14ac:dyDescent="0.25">
      <c r="A160" s="3">
        <v>159</v>
      </c>
      <c r="B160" s="4">
        <v>40550</v>
      </c>
      <c r="C160" s="3">
        <v>1</v>
      </c>
      <c r="D160" s="3">
        <f t="shared" si="14"/>
        <v>2011</v>
      </c>
      <c r="E160" s="3">
        <v>1</v>
      </c>
      <c r="F160" s="3">
        <v>21</v>
      </c>
      <c r="G160" s="3" t="str">
        <f t="shared" si="15"/>
        <v>Evening</v>
      </c>
      <c r="H160" s="3" t="b">
        <v>0</v>
      </c>
      <c r="I160" s="3" t="str">
        <f t="shared" si="13"/>
        <v>Working day</v>
      </c>
      <c r="J160" s="3">
        <v>5</v>
      </c>
      <c r="K160" s="3" t="str">
        <f t="shared" si="16"/>
        <v>Saturday</v>
      </c>
      <c r="L160" s="3">
        <v>1</v>
      </c>
      <c r="M160" s="3" t="str">
        <f t="shared" si="17"/>
        <v>Nice weather</v>
      </c>
      <c r="N160" s="3">
        <v>0.18</v>
      </c>
      <c r="O160">
        <f t="shared" si="18"/>
        <v>18</v>
      </c>
    </row>
    <row r="161" spans="1:15" ht="13.2" x14ac:dyDescent="0.25">
      <c r="A161" s="3">
        <v>160</v>
      </c>
      <c r="B161" s="4">
        <v>40550</v>
      </c>
      <c r="C161" s="3">
        <v>1</v>
      </c>
      <c r="D161" s="3">
        <f t="shared" si="14"/>
        <v>2011</v>
      </c>
      <c r="E161" s="3">
        <v>1</v>
      </c>
      <c r="F161" s="3">
        <v>22</v>
      </c>
      <c r="G161" s="3" t="str">
        <f t="shared" si="15"/>
        <v>Evening</v>
      </c>
      <c r="H161" s="3" t="b">
        <v>0</v>
      </c>
      <c r="I161" s="3" t="str">
        <f t="shared" si="13"/>
        <v>Working day</v>
      </c>
      <c r="J161" s="3">
        <v>5</v>
      </c>
      <c r="K161" s="3" t="str">
        <f t="shared" si="16"/>
        <v>Saturday</v>
      </c>
      <c r="L161" s="3">
        <v>2</v>
      </c>
      <c r="M161" s="3" t="str">
        <f t="shared" si="17"/>
        <v>Mild Cloudy</v>
      </c>
      <c r="N161" s="3">
        <v>0.18</v>
      </c>
      <c r="O161">
        <f t="shared" si="18"/>
        <v>18</v>
      </c>
    </row>
    <row r="162" spans="1:15" ht="13.2" x14ac:dyDescent="0.25">
      <c r="A162" s="3">
        <v>161</v>
      </c>
      <c r="B162" s="4">
        <v>40550</v>
      </c>
      <c r="C162" s="3">
        <v>1</v>
      </c>
      <c r="D162" s="3">
        <f t="shared" si="14"/>
        <v>2011</v>
      </c>
      <c r="E162" s="3">
        <v>1</v>
      </c>
      <c r="F162" s="3">
        <v>23</v>
      </c>
      <c r="G162" s="3" t="str">
        <f t="shared" si="15"/>
        <v>Evening</v>
      </c>
      <c r="H162" s="3" t="b">
        <v>0</v>
      </c>
      <c r="I162" s="3" t="str">
        <f t="shared" si="13"/>
        <v>Working day</v>
      </c>
      <c r="J162" s="3">
        <v>5</v>
      </c>
      <c r="K162" s="3" t="str">
        <f t="shared" si="16"/>
        <v>Saturday</v>
      </c>
      <c r="L162" s="3">
        <v>2</v>
      </c>
      <c r="M162" s="3" t="str">
        <f t="shared" si="17"/>
        <v>Mild Cloudy</v>
      </c>
      <c r="N162" s="3">
        <v>0.18</v>
      </c>
      <c r="O162">
        <f t="shared" si="18"/>
        <v>18</v>
      </c>
    </row>
    <row r="163" spans="1:15" ht="13.2" x14ac:dyDescent="0.25">
      <c r="A163" s="3">
        <v>162</v>
      </c>
      <c r="B163" s="4">
        <v>40551</v>
      </c>
      <c r="C163" s="3">
        <v>1</v>
      </c>
      <c r="D163" s="3">
        <f t="shared" si="14"/>
        <v>2011</v>
      </c>
      <c r="E163" s="3">
        <v>1</v>
      </c>
      <c r="F163" s="3">
        <v>0</v>
      </c>
      <c r="G163" s="3" t="str">
        <f t="shared" si="15"/>
        <v>Night</v>
      </c>
      <c r="H163" s="3" t="b">
        <v>0</v>
      </c>
      <c r="I163" s="3" t="str">
        <f t="shared" si="13"/>
        <v>Working day</v>
      </c>
      <c r="J163" s="3">
        <v>6</v>
      </c>
      <c r="K163" s="3" t="str">
        <f t="shared" si="16"/>
        <v>Sunday</v>
      </c>
      <c r="L163" s="3">
        <v>2</v>
      </c>
      <c r="M163" s="3" t="str">
        <f t="shared" si="17"/>
        <v>Mild Cloudy</v>
      </c>
      <c r="N163" s="3">
        <v>0.18</v>
      </c>
      <c r="O163">
        <f t="shared" si="18"/>
        <v>18</v>
      </c>
    </row>
    <row r="164" spans="1:15" ht="13.2" x14ac:dyDescent="0.25">
      <c r="A164" s="3">
        <v>163</v>
      </c>
      <c r="B164" s="4">
        <v>40551</v>
      </c>
      <c r="C164" s="3">
        <v>1</v>
      </c>
      <c r="D164" s="3">
        <f t="shared" si="14"/>
        <v>2011</v>
      </c>
      <c r="E164" s="3">
        <v>1</v>
      </c>
      <c r="F164" s="3">
        <v>1</v>
      </c>
      <c r="G164" s="3" t="str">
        <f t="shared" si="15"/>
        <v>Night</v>
      </c>
      <c r="H164" s="3" t="b">
        <v>0</v>
      </c>
      <c r="I164" s="3" t="str">
        <f t="shared" si="13"/>
        <v>Working day</v>
      </c>
      <c r="J164" s="3">
        <v>6</v>
      </c>
      <c r="K164" s="3" t="str">
        <f t="shared" si="16"/>
        <v>Sunday</v>
      </c>
      <c r="L164" s="3">
        <v>2</v>
      </c>
      <c r="M164" s="3" t="str">
        <f t="shared" si="17"/>
        <v>Mild Cloudy</v>
      </c>
      <c r="N164" s="3">
        <v>0.18</v>
      </c>
      <c r="O164">
        <f t="shared" si="18"/>
        <v>18</v>
      </c>
    </row>
    <row r="165" spans="1:15" ht="13.2" x14ac:dyDescent="0.25">
      <c r="A165" s="3">
        <v>164</v>
      </c>
      <c r="B165" s="4">
        <v>40551</v>
      </c>
      <c r="C165" s="3">
        <v>1</v>
      </c>
      <c r="D165" s="3">
        <f t="shared" si="14"/>
        <v>2011</v>
      </c>
      <c r="E165" s="3">
        <v>1</v>
      </c>
      <c r="F165" s="3">
        <v>2</v>
      </c>
      <c r="G165" s="3" t="str">
        <f t="shared" si="15"/>
        <v>Night</v>
      </c>
      <c r="H165" s="3" t="b">
        <v>0</v>
      </c>
      <c r="I165" s="3" t="str">
        <f t="shared" si="13"/>
        <v>Working day</v>
      </c>
      <c r="J165" s="3">
        <v>6</v>
      </c>
      <c r="K165" s="3" t="str">
        <f t="shared" si="16"/>
        <v>Sunday</v>
      </c>
      <c r="L165" s="3">
        <v>2</v>
      </c>
      <c r="M165" s="3" t="str">
        <f t="shared" si="17"/>
        <v>Mild Cloudy</v>
      </c>
      <c r="N165" s="3">
        <v>0.18</v>
      </c>
      <c r="O165">
        <f t="shared" si="18"/>
        <v>18</v>
      </c>
    </row>
    <row r="166" spans="1:15" ht="13.2" x14ac:dyDescent="0.25">
      <c r="A166" s="3">
        <v>165</v>
      </c>
      <c r="B166" s="4">
        <v>40551</v>
      </c>
      <c r="C166" s="3">
        <v>1</v>
      </c>
      <c r="D166" s="3">
        <f t="shared" si="14"/>
        <v>2011</v>
      </c>
      <c r="E166" s="3">
        <v>1</v>
      </c>
      <c r="F166" s="3">
        <v>3</v>
      </c>
      <c r="G166" s="3" t="str">
        <f t="shared" si="15"/>
        <v>Night</v>
      </c>
      <c r="H166" s="3" t="b">
        <v>0</v>
      </c>
      <c r="I166" s="3" t="str">
        <f t="shared" si="13"/>
        <v>Working day</v>
      </c>
      <c r="J166" s="3">
        <v>6</v>
      </c>
      <c r="K166" s="3" t="str">
        <f t="shared" si="16"/>
        <v>Sunday</v>
      </c>
      <c r="L166" s="3">
        <v>3</v>
      </c>
      <c r="M166" s="3" t="str">
        <f t="shared" si="17"/>
        <v>Dark Cloudy</v>
      </c>
      <c r="N166" s="3">
        <v>0.18</v>
      </c>
      <c r="O166">
        <f t="shared" si="18"/>
        <v>18</v>
      </c>
    </row>
    <row r="167" spans="1:15" ht="13.2" x14ac:dyDescent="0.25">
      <c r="A167" s="3">
        <v>166</v>
      </c>
      <c r="B167" s="4">
        <v>40551</v>
      </c>
      <c r="C167" s="3">
        <v>1</v>
      </c>
      <c r="D167" s="3">
        <f t="shared" si="14"/>
        <v>2011</v>
      </c>
      <c r="E167" s="3">
        <v>1</v>
      </c>
      <c r="F167" s="3">
        <v>4</v>
      </c>
      <c r="G167" s="3" t="str">
        <f t="shared" si="15"/>
        <v>Night</v>
      </c>
      <c r="H167" s="3" t="b">
        <v>0</v>
      </c>
      <c r="I167" s="3" t="str">
        <f t="shared" si="13"/>
        <v>Working day</v>
      </c>
      <c r="J167" s="3">
        <v>6</v>
      </c>
      <c r="K167" s="3" t="str">
        <f t="shared" si="16"/>
        <v>Sunday</v>
      </c>
      <c r="L167" s="3">
        <v>3</v>
      </c>
      <c r="M167" s="3" t="str">
        <f t="shared" si="17"/>
        <v>Dark Cloudy</v>
      </c>
      <c r="N167" s="3">
        <v>0.18</v>
      </c>
      <c r="O167">
        <f t="shared" si="18"/>
        <v>18</v>
      </c>
    </row>
    <row r="168" spans="1:15" ht="13.2" x14ac:dyDescent="0.25">
      <c r="A168" s="3">
        <v>167</v>
      </c>
      <c r="B168" s="4">
        <v>40551</v>
      </c>
      <c r="C168" s="3">
        <v>1</v>
      </c>
      <c r="D168" s="3">
        <f t="shared" si="14"/>
        <v>2011</v>
      </c>
      <c r="E168" s="3">
        <v>1</v>
      </c>
      <c r="F168" s="3">
        <v>5</v>
      </c>
      <c r="G168" s="3" t="str">
        <f t="shared" si="15"/>
        <v>Night</v>
      </c>
      <c r="H168" s="3" t="b">
        <v>0</v>
      </c>
      <c r="I168" s="3" t="str">
        <f t="shared" si="13"/>
        <v>Working day</v>
      </c>
      <c r="J168" s="3">
        <v>6</v>
      </c>
      <c r="K168" s="3" t="str">
        <f t="shared" si="16"/>
        <v>Sunday</v>
      </c>
      <c r="L168" s="3">
        <v>2</v>
      </c>
      <c r="M168" s="3" t="str">
        <f t="shared" si="17"/>
        <v>Mild Cloudy</v>
      </c>
      <c r="N168" s="3">
        <v>0.16</v>
      </c>
      <c r="O168">
        <f t="shared" si="18"/>
        <v>16</v>
      </c>
    </row>
    <row r="169" spans="1:15" ht="13.2" x14ac:dyDescent="0.25">
      <c r="A169" s="3">
        <v>168</v>
      </c>
      <c r="B169" s="4">
        <v>40551</v>
      </c>
      <c r="C169" s="3">
        <v>1</v>
      </c>
      <c r="D169" s="3">
        <f t="shared" si="14"/>
        <v>2011</v>
      </c>
      <c r="E169" s="3">
        <v>1</v>
      </c>
      <c r="F169" s="3">
        <v>6</v>
      </c>
      <c r="G169" s="3" t="str">
        <f t="shared" si="15"/>
        <v>Morning</v>
      </c>
      <c r="H169" s="3" t="b">
        <v>0</v>
      </c>
      <c r="I169" s="3" t="str">
        <f t="shared" si="13"/>
        <v>Working day</v>
      </c>
      <c r="J169" s="3">
        <v>6</v>
      </c>
      <c r="K169" s="3" t="str">
        <f t="shared" si="16"/>
        <v>Sunday</v>
      </c>
      <c r="L169" s="3">
        <v>2</v>
      </c>
      <c r="M169" s="3" t="str">
        <f t="shared" si="17"/>
        <v>Mild Cloudy</v>
      </c>
      <c r="N169" s="3">
        <v>0.16</v>
      </c>
      <c r="O169">
        <f t="shared" si="18"/>
        <v>16</v>
      </c>
    </row>
    <row r="170" spans="1:15" ht="13.2" x14ac:dyDescent="0.25">
      <c r="A170" s="3">
        <v>169</v>
      </c>
      <c r="B170" s="4">
        <v>40551</v>
      </c>
      <c r="C170" s="3">
        <v>1</v>
      </c>
      <c r="D170" s="3">
        <f t="shared" si="14"/>
        <v>2011</v>
      </c>
      <c r="E170" s="3">
        <v>1</v>
      </c>
      <c r="F170" s="3">
        <v>7</v>
      </c>
      <c r="G170" s="3" t="str">
        <f t="shared" si="15"/>
        <v>Morning</v>
      </c>
      <c r="H170" s="3" t="b">
        <v>0</v>
      </c>
      <c r="I170" s="3" t="str">
        <f t="shared" si="13"/>
        <v>Working day</v>
      </c>
      <c r="J170" s="3">
        <v>6</v>
      </c>
      <c r="K170" s="3" t="str">
        <f t="shared" si="16"/>
        <v>Sunday</v>
      </c>
      <c r="L170" s="3">
        <v>2</v>
      </c>
      <c r="M170" s="3" t="str">
        <f t="shared" si="17"/>
        <v>Mild Cloudy</v>
      </c>
      <c r="N170" s="3">
        <v>0.16</v>
      </c>
      <c r="O170">
        <f t="shared" si="18"/>
        <v>16</v>
      </c>
    </row>
    <row r="171" spans="1:15" ht="13.2" x14ac:dyDescent="0.25">
      <c r="A171" s="3">
        <v>170</v>
      </c>
      <c r="B171" s="4">
        <v>40551</v>
      </c>
      <c r="C171" s="3">
        <v>1</v>
      </c>
      <c r="D171" s="3">
        <f t="shared" si="14"/>
        <v>2011</v>
      </c>
      <c r="E171" s="3">
        <v>1</v>
      </c>
      <c r="F171" s="3">
        <v>8</v>
      </c>
      <c r="G171" s="3" t="str">
        <f t="shared" si="15"/>
        <v>Morning</v>
      </c>
      <c r="H171" s="3" t="b">
        <v>0</v>
      </c>
      <c r="I171" s="3" t="str">
        <f t="shared" si="13"/>
        <v>Working day</v>
      </c>
      <c r="J171" s="3">
        <v>6</v>
      </c>
      <c r="K171" s="3" t="str">
        <f t="shared" si="16"/>
        <v>Sunday</v>
      </c>
      <c r="L171" s="3">
        <v>3</v>
      </c>
      <c r="M171" s="3" t="str">
        <f t="shared" si="17"/>
        <v>Dark Cloudy</v>
      </c>
      <c r="N171" s="3">
        <v>0.16</v>
      </c>
      <c r="O171">
        <f t="shared" si="18"/>
        <v>16</v>
      </c>
    </row>
    <row r="172" spans="1:15" ht="13.2" x14ac:dyDescent="0.25">
      <c r="A172" s="3">
        <v>171</v>
      </c>
      <c r="B172" s="4">
        <v>40551</v>
      </c>
      <c r="C172" s="3">
        <v>1</v>
      </c>
      <c r="D172" s="3">
        <f t="shared" si="14"/>
        <v>2011</v>
      </c>
      <c r="E172" s="3">
        <v>1</v>
      </c>
      <c r="F172" s="3">
        <v>9</v>
      </c>
      <c r="G172" s="3" t="str">
        <f t="shared" si="15"/>
        <v>Morning</v>
      </c>
      <c r="H172" s="3" t="b">
        <v>0</v>
      </c>
      <c r="I172" s="3" t="str">
        <f t="shared" si="13"/>
        <v>Working day</v>
      </c>
      <c r="J172" s="3">
        <v>6</v>
      </c>
      <c r="K172" s="3" t="str">
        <f t="shared" si="16"/>
        <v>Sunday</v>
      </c>
      <c r="L172" s="3">
        <v>3</v>
      </c>
      <c r="M172" s="3" t="str">
        <f t="shared" si="17"/>
        <v>Dark Cloudy</v>
      </c>
      <c r="N172" s="3">
        <v>0.16</v>
      </c>
      <c r="O172">
        <f t="shared" si="18"/>
        <v>16</v>
      </c>
    </row>
    <row r="173" spans="1:15" ht="13.2" x14ac:dyDescent="0.25">
      <c r="A173" s="3">
        <v>172</v>
      </c>
      <c r="B173" s="4">
        <v>40551</v>
      </c>
      <c r="C173" s="3">
        <v>1</v>
      </c>
      <c r="D173" s="3">
        <f t="shared" si="14"/>
        <v>2011</v>
      </c>
      <c r="E173" s="3">
        <v>1</v>
      </c>
      <c r="F173" s="3">
        <v>10</v>
      </c>
      <c r="G173" s="3" t="str">
        <f t="shared" si="15"/>
        <v>Morning</v>
      </c>
      <c r="H173" s="3" t="b">
        <v>0</v>
      </c>
      <c r="I173" s="3" t="str">
        <f t="shared" si="13"/>
        <v>Working day</v>
      </c>
      <c r="J173" s="3">
        <v>6</v>
      </c>
      <c r="K173" s="3" t="str">
        <f t="shared" si="16"/>
        <v>Sunday</v>
      </c>
      <c r="L173" s="3">
        <v>2</v>
      </c>
      <c r="M173" s="3" t="str">
        <f t="shared" si="17"/>
        <v>Mild Cloudy</v>
      </c>
      <c r="N173" s="3">
        <v>0.18</v>
      </c>
      <c r="O173">
        <f t="shared" si="18"/>
        <v>18</v>
      </c>
    </row>
    <row r="174" spans="1:15" ht="13.2" x14ac:dyDescent="0.25">
      <c r="A174" s="3">
        <v>173</v>
      </c>
      <c r="B174" s="4">
        <v>40551</v>
      </c>
      <c r="C174" s="3">
        <v>1</v>
      </c>
      <c r="D174" s="3">
        <f t="shared" si="14"/>
        <v>2011</v>
      </c>
      <c r="E174" s="3">
        <v>1</v>
      </c>
      <c r="F174" s="3">
        <v>11</v>
      </c>
      <c r="G174" s="3" t="str">
        <f t="shared" si="15"/>
        <v>Morning</v>
      </c>
      <c r="H174" s="3" t="b">
        <v>0</v>
      </c>
      <c r="I174" s="3" t="str">
        <f t="shared" si="13"/>
        <v>Working day</v>
      </c>
      <c r="J174" s="3">
        <v>6</v>
      </c>
      <c r="K174" s="3" t="str">
        <f t="shared" si="16"/>
        <v>Sunday</v>
      </c>
      <c r="L174" s="3">
        <v>2</v>
      </c>
      <c r="M174" s="3" t="str">
        <f t="shared" si="17"/>
        <v>Mild Cloudy</v>
      </c>
      <c r="N174" s="3">
        <v>0.2</v>
      </c>
      <c r="O174">
        <f t="shared" si="18"/>
        <v>20</v>
      </c>
    </row>
    <row r="175" spans="1:15" ht="13.2" x14ac:dyDescent="0.25">
      <c r="A175" s="3">
        <v>174</v>
      </c>
      <c r="B175" s="4">
        <v>40551</v>
      </c>
      <c r="C175" s="3">
        <v>1</v>
      </c>
      <c r="D175" s="3">
        <f t="shared" si="14"/>
        <v>2011</v>
      </c>
      <c r="E175" s="3">
        <v>1</v>
      </c>
      <c r="F175" s="3">
        <v>12</v>
      </c>
      <c r="G175" s="3" t="str">
        <f t="shared" si="15"/>
        <v>Afternoon</v>
      </c>
      <c r="H175" s="3" t="b">
        <v>0</v>
      </c>
      <c r="I175" s="3" t="str">
        <f t="shared" si="13"/>
        <v>Working day</v>
      </c>
      <c r="J175" s="3">
        <v>6</v>
      </c>
      <c r="K175" s="3" t="str">
        <f t="shared" si="16"/>
        <v>Sunday</v>
      </c>
      <c r="L175" s="3">
        <v>2</v>
      </c>
      <c r="M175" s="3" t="str">
        <f t="shared" si="17"/>
        <v>Mild Cloudy</v>
      </c>
      <c r="N175" s="3">
        <v>0.2</v>
      </c>
      <c r="O175">
        <f t="shared" si="18"/>
        <v>20</v>
      </c>
    </row>
    <row r="176" spans="1:15" ht="13.2" x14ac:dyDescent="0.25">
      <c r="A176" s="3">
        <v>175</v>
      </c>
      <c r="B176" s="4">
        <v>40551</v>
      </c>
      <c r="C176" s="3">
        <v>1</v>
      </c>
      <c r="D176" s="3">
        <f t="shared" si="14"/>
        <v>2011</v>
      </c>
      <c r="E176" s="3">
        <v>1</v>
      </c>
      <c r="F176" s="3">
        <v>13</v>
      </c>
      <c r="G176" s="3" t="str">
        <f t="shared" si="15"/>
        <v>Afternoon</v>
      </c>
      <c r="H176" s="3" t="b">
        <v>0</v>
      </c>
      <c r="I176" s="3" t="str">
        <f t="shared" si="13"/>
        <v>Working day</v>
      </c>
      <c r="J176" s="3">
        <v>6</v>
      </c>
      <c r="K176" s="3" t="str">
        <f t="shared" si="16"/>
        <v>Sunday</v>
      </c>
      <c r="L176" s="3">
        <v>1</v>
      </c>
      <c r="M176" s="3" t="str">
        <f t="shared" si="17"/>
        <v>Nice weather</v>
      </c>
      <c r="N176" s="3">
        <v>0.2</v>
      </c>
      <c r="O176">
        <f t="shared" si="18"/>
        <v>20</v>
      </c>
    </row>
    <row r="177" spans="1:15" ht="13.2" x14ac:dyDescent="0.25">
      <c r="A177" s="3">
        <v>176</v>
      </c>
      <c r="B177" s="4">
        <v>40551</v>
      </c>
      <c r="C177" s="3">
        <v>1</v>
      </c>
      <c r="D177" s="3">
        <f t="shared" si="14"/>
        <v>2011</v>
      </c>
      <c r="E177" s="3">
        <v>1</v>
      </c>
      <c r="F177" s="3">
        <v>14</v>
      </c>
      <c r="G177" s="3" t="str">
        <f t="shared" si="15"/>
        <v>Afternoon</v>
      </c>
      <c r="H177" s="3" t="b">
        <v>0</v>
      </c>
      <c r="I177" s="3" t="str">
        <f t="shared" si="13"/>
        <v>Working day</v>
      </c>
      <c r="J177" s="3">
        <v>6</v>
      </c>
      <c r="K177" s="3" t="str">
        <f t="shared" si="16"/>
        <v>Sunday</v>
      </c>
      <c r="L177" s="3">
        <v>1</v>
      </c>
      <c r="M177" s="3" t="str">
        <f t="shared" si="17"/>
        <v>Nice weather</v>
      </c>
      <c r="N177" s="3">
        <v>0.2</v>
      </c>
      <c r="O177">
        <f t="shared" si="18"/>
        <v>20</v>
      </c>
    </row>
    <row r="178" spans="1:15" ht="13.2" x14ac:dyDescent="0.25">
      <c r="A178" s="3">
        <v>177</v>
      </c>
      <c r="B178" s="4">
        <v>40551</v>
      </c>
      <c r="C178" s="3">
        <v>1</v>
      </c>
      <c r="D178" s="3">
        <f t="shared" si="14"/>
        <v>2011</v>
      </c>
      <c r="E178" s="3">
        <v>1</v>
      </c>
      <c r="F178" s="3">
        <v>15</v>
      </c>
      <c r="G178" s="3" t="str">
        <f t="shared" si="15"/>
        <v>Afternoon</v>
      </c>
      <c r="H178" s="3" t="b">
        <v>0</v>
      </c>
      <c r="I178" s="3" t="str">
        <f t="shared" si="13"/>
        <v>Working day</v>
      </c>
      <c r="J178" s="3">
        <v>6</v>
      </c>
      <c r="K178" s="3" t="str">
        <f t="shared" si="16"/>
        <v>Sunday</v>
      </c>
      <c r="L178" s="3">
        <v>1</v>
      </c>
      <c r="M178" s="3" t="str">
        <f t="shared" si="17"/>
        <v>Nice weather</v>
      </c>
      <c r="N178" s="3">
        <v>0.2</v>
      </c>
      <c r="O178">
        <f t="shared" si="18"/>
        <v>20</v>
      </c>
    </row>
    <row r="179" spans="1:15" ht="13.2" x14ac:dyDescent="0.25">
      <c r="A179" s="3">
        <v>178</v>
      </c>
      <c r="B179" s="4">
        <v>40551</v>
      </c>
      <c r="C179" s="3">
        <v>1</v>
      </c>
      <c r="D179" s="3">
        <f t="shared" si="14"/>
        <v>2011</v>
      </c>
      <c r="E179" s="3">
        <v>1</v>
      </c>
      <c r="F179" s="3">
        <v>16</v>
      </c>
      <c r="G179" s="3" t="str">
        <f t="shared" si="15"/>
        <v>Afternoon</v>
      </c>
      <c r="H179" s="3" t="b">
        <v>0</v>
      </c>
      <c r="I179" s="3" t="str">
        <f t="shared" si="13"/>
        <v>Working day</v>
      </c>
      <c r="J179" s="3">
        <v>6</v>
      </c>
      <c r="K179" s="3" t="str">
        <f t="shared" si="16"/>
        <v>Sunday</v>
      </c>
      <c r="L179" s="3">
        <v>1</v>
      </c>
      <c r="M179" s="3" t="str">
        <f t="shared" si="17"/>
        <v>Nice weather</v>
      </c>
      <c r="N179" s="3">
        <v>0.18</v>
      </c>
      <c r="O179">
        <f t="shared" si="18"/>
        <v>18</v>
      </c>
    </row>
    <row r="180" spans="1:15" ht="13.2" x14ac:dyDescent="0.25">
      <c r="A180" s="3">
        <v>179</v>
      </c>
      <c r="B180" s="4">
        <v>40551</v>
      </c>
      <c r="C180" s="3">
        <v>1</v>
      </c>
      <c r="D180" s="3">
        <f t="shared" si="14"/>
        <v>2011</v>
      </c>
      <c r="E180" s="3">
        <v>1</v>
      </c>
      <c r="F180" s="3">
        <v>17</v>
      </c>
      <c r="G180" s="3" t="str">
        <f t="shared" si="15"/>
        <v>Afternoon</v>
      </c>
      <c r="H180" s="3" t="b">
        <v>0</v>
      </c>
      <c r="I180" s="3" t="str">
        <f t="shared" si="13"/>
        <v>Working day</v>
      </c>
      <c r="J180" s="3">
        <v>6</v>
      </c>
      <c r="K180" s="3" t="str">
        <f t="shared" si="16"/>
        <v>Sunday</v>
      </c>
      <c r="L180" s="3">
        <v>1</v>
      </c>
      <c r="M180" s="3" t="str">
        <f t="shared" si="17"/>
        <v>Nice weather</v>
      </c>
      <c r="N180" s="3">
        <v>0.16</v>
      </c>
      <c r="O180">
        <f t="shared" si="18"/>
        <v>16</v>
      </c>
    </row>
    <row r="181" spans="1:15" ht="13.2" x14ac:dyDescent="0.25">
      <c r="A181" s="3">
        <v>180</v>
      </c>
      <c r="B181" s="4">
        <v>40551</v>
      </c>
      <c r="C181" s="3">
        <v>1</v>
      </c>
      <c r="D181" s="3">
        <f t="shared" si="14"/>
        <v>2011</v>
      </c>
      <c r="E181" s="3">
        <v>1</v>
      </c>
      <c r="F181" s="3">
        <v>18</v>
      </c>
      <c r="G181" s="3" t="str">
        <f t="shared" si="15"/>
        <v>Evening</v>
      </c>
      <c r="H181" s="3" t="b">
        <v>0</v>
      </c>
      <c r="I181" s="3" t="str">
        <f t="shared" si="13"/>
        <v>Working day</v>
      </c>
      <c r="J181" s="3">
        <v>6</v>
      </c>
      <c r="K181" s="3" t="str">
        <f t="shared" si="16"/>
        <v>Sunday</v>
      </c>
      <c r="L181" s="3">
        <v>1</v>
      </c>
      <c r="M181" s="3" t="str">
        <f t="shared" si="17"/>
        <v>Nice weather</v>
      </c>
      <c r="N181" s="3">
        <v>0.14000000000000001</v>
      </c>
      <c r="O181">
        <f t="shared" si="18"/>
        <v>14.000000000000002</v>
      </c>
    </row>
    <row r="182" spans="1:15" ht="13.2" x14ac:dyDescent="0.25">
      <c r="A182" s="3">
        <v>181</v>
      </c>
      <c r="B182" s="4">
        <v>40551</v>
      </c>
      <c r="C182" s="3">
        <v>1</v>
      </c>
      <c r="D182" s="3">
        <f t="shared" si="14"/>
        <v>2011</v>
      </c>
      <c r="E182" s="3">
        <v>1</v>
      </c>
      <c r="F182" s="3">
        <v>19</v>
      </c>
      <c r="G182" s="3" t="str">
        <f t="shared" si="15"/>
        <v>Evening</v>
      </c>
      <c r="H182" s="3" t="b">
        <v>0</v>
      </c>
      <c r="I182" s="3" t="str">
        <f t="shared" si="13"/>
        <v>Working day</v>
      </c>
      <c r="J182" s="3">
        <v>6</v>
      </c>
      <c r="K182" s="3" t="str">
        <f t="shared" si="16"/>
        <v>Sunday</v>
      </c>
      <c r="L182" s="3">
        <v>1</v>
      </c>
      <c r="M182" s="3" t="str">
        <f t="shared" si="17"/>
        <v>Nice weather</v>
      </c>
      <c r="N182" s="3">
        <v>0.14000000000000001</v>
      </c>
      <c r="O182">
        <f t="shared" si="18"/>
        <v>14.000000000000002</v>
      </c>
    </row>
    <row r="183" spans="1:15" ht="13.2" x14ac:dyDescent="0.25">
      <c r="A183" s="3">
        <v>182</v>
      </c>
      <c r="B183" s="4">
        <v>40551</v>
      </c>
      <c r="C183" s="3">
        <v>1</v>
      </c>
      <c r="D183" s="3">
        <f t="shared" si="14"/>
        <v>2011</v>
      </c>
      <c r="E183" s="3">
        <v>1</v>
      </c>
      <c r="F183" s="3">
        <v>20</v>
      </c>
      <c r="G183" s="3" t="str">
        <f t="shared" si="15"/>
        <v>Evening</v>
      </c>
      <c r="H183" s="3" t="b">
        <v>0</v>
      </c>
      <c r="I183" s="3" t="str">
        <f t="shared" si="13"/>
        <v>Working day</v>
      </c>
      <c r="J183" s="3">
        <v>6</v>
      </c>
      <c r="K183" s="3" t="str">
        <f t="shared" si="16"/>
        <v>Sunday</v>
      </c>
      <c r="L183" s="3">
        <v>1</v>
      </c>
      <c r="M183" s="3" t="str">
        <f t="shared" si="17"/>
        <v>Nice weather</v>
      </c>
      <c r="N183" s="3">
        <v>0.12</v>
      </c>
      <c r="O183">
        <f t="shared" si="18"/>
        <v>12</v>
      </c>
    </row>
    <row r="184" spans="1:15" ht="13.2" x14ac:dyDescent="0.25">
      <c r="A184" s="3">
        <v>183</v>
      </c>
      <c r="B184" s="4">
        <v>40551</v>
      </c>
      <c r="C184" s="3">
        <v>1</v>
      </c>
      <c r="D184" s="3">
        <f t="shared" si="14"/>
        <v>2011</v>
      </c>
      <c r="E184" s="3">
        <v>1</v>
      </c>
      <c r="F184" s="3">
        <v>21</v>
      </c>
      <c r="G184" s="3" t="str">
        <f t="shared" si="15"/>
        <v>Evening</v>
      </c>
      <c r="H184" s="3" t="b">
        <v>0</v>
      </c>
      <c r="I184" s="3" t="str">
        <f t="shared" si="13"/>
        <v>Working day</v>
      </c>
      <c r="J184" s="3">
        <v>6</v>
      </c>
      <c r="K184" s="3" t="str">
        <f t="shared" si="16"/>
        <v>Sunday</v>
      </c>
      <c r="L184" s="3">
        <v>1</v>
      </c>
      <c r="M184" s="3" t="str">
        <f t="shared" si="17"/>
        <v>Nice weather</v>
      </c>
      <c r="N184" s="3">
        <v>0.12</v>
      </c>
      <c r="O184">
        <f t="shared" si="18"/>
        <v>12</v>
      </c>
    </row>
    <row r="185" spans="1:15" ht="13.2" x14ac:dyDescent="0.25">
      <c r="A185" s="3">
        <v>184</v>
      </c>
      <c r="B185" s="4">
        <v>40551</v>
      </c>
      <c r="C185" s="3">
        <v>1</v>
      </c>
      <c r="D185" s="3">
        <f t="shared" si="14"/>
        <v>2011</v>
      </c>
      <c r="E185" s="3">
        <v>1</v>
      </c>
      <c r="F185" s="3">
        <v>22</v>
      </c>
      <c r="G185" s="3" t="str">
        <f t="shared" si="15"/>
        <v>Evening</v>
      </c>
      <c r="H185" s="3" t="b">
        <v>0</v>
      </c>
      <c r="I185" s="3" t="str">
        <f t="shared" si="13"/>
        <v>Working day</v>
      </c>
      <c r="J185" s="3">
        <v>6</v>
      </c>
      <c r="K185" s="3" t="str">
        <f t="shared" si="16"/>
        <v>Sunday</v>
      </c>
      <c r="L185" s="3">
        <v>1</v>
      </c>
      <c r="M185" s="3" t="str">
        <f t="shared" si="17"/>
        <v>Nice weather</v>
      </c>
      <c r="N185" s="3">
        <v>0.12</v>
      </c>
      <c r="O185">
        <f t="shared" si="18"/>
        <v>12</v>
      </c>
    </row>
    <row r="186" spans="1:15" ht="13.2" x14ac:dyDescent="0.25">
      <c r="A186" s="3">
        <v>185</v>
      </c>
      <c r="B186" s="4">
        <v>40551</v>
      </c>
      <c r="C186" s="3">
        <v>1</v>
      </c>
      <c r="D186" s="3">
        <f t="shared" si="14"/>
        <v>2011</v>
      </c>
      <c r="E186" s="3">
        <v>1</v>
      </c>
      <c r="F186" s="3">
        <v>23</v>
      </c>
      <c r="G186" s="3" t="str">
        <f t="shared" si="15"/>
        <v>Evening</v>
      </c>
      <c r="H186" s="3" t="b">
        <v>0</v>
      </c>
      <c r="I186" s="3" t="str">
        <f t="shared" si="13"/>
        <v>Working day</v>
      </c>
      <c r="J186" s="3">
        <v>6</v>
      </c>
      <c r="K186" s="3" t="str">
        <f t="shared" si="16"/>
        <v>Sunday</v>
      </c>
      <c r="L186" s="3">
        <v>1</v>
      </c>
      <c r="M186" s="3" t="str">
        <f t="shared" si="17"/>
        <v>Nice weather</v>
      </c>
      <c r="N186" s="3">
        <v>0.1</v>
      </c>
      <c r="O186">
        <f t="shared" si="18"/>
        <v>10</v>
      </c>
    </row>
    <row r="187" spans="1:15" ht="13.2" x14ac:dyDescent="0.25">
      <c r="A187" s="3">
        <v>186</v>
      </c>
      <c r="B187" s="4">
        <v>40552</v>
      </c>
      <c r="C187" s="3">
        <v>1</v>
      </c>
      <c r="D187" s="3">
        <f t="shared" si="14"/>
        <v>2011</v>
      </c>
      <c r="E187" s="3">
        <v>1</v>
      </c>
      <c r="F187" s="3">
        <v>0</v>
      </c>
      <c r="G187" s="3" t="str">
        <f t="shared" si="15"/>
        <v>Night</v>
      </c>
      <c r="H187" s="3" t="b">
        <v>0</v>
      </c>
      <c r="I187" s="3" t="str">
        <f t="shared" si="13"/>
        <v>Working day</v>
      </c>
      <c r="J187" s="3">
        <v>0</v>
      </c>
      <c r="K187" s="3" t="str">
        <f t="shared" si="16"/>
        <v>Monday</v>
      </c>
      <c r="L187" s="3">
        <v>1</v>
      </c>
      <c r="M187" s="3" t="str">
        <f t="shared" si="17"/>
        <v>Nice weather</v>
      </c>
      <c r="N187" s="3">
        <v>0.1</v>
      </c>
      <c r="O187">
        <f t="shared" si="18"/>
        <v>10</v>
      </c>
    </row>
    <row r="188" spans="1:15" ht="13.2" x14ac:dyDescent="0.25">
      <c r="A188" s="3">
        <v>187</v>
      </c>
      <c r="B188" s="4">
        <v>40552</v>
      </c>
      <c r="C188" s="3">
        <v>1</v>
      </c>
      <c r="D188" s="3">
        <f t="shared" si="14"/>
        <v>2011</v>
      </c>
      <c r="E188" s="3">
        <v>1</v>
      </c>
      <c r="F188" s="3">
        <v>1</v>
      </c>
      <c r="G188" s="3" t="str">
        <f t="shared" si="15"/>
        <v>Night</v>
      </c>
      <c r="H188" s="3" t="b">
        <v>0</v>
      </c>
      <c r="I188" s="3" t="str">
        <f t="shared" si="13"/>
        <v>Working day</v>
      </c>
      <c r="J188" s="3">
        <v>0</v>
      </c>
      <c r="K188" s="3" t="str">
        <f t="shared" si="16"/>
        <v>Monday</v>
      </c>
      <c r="L188" s="3">
        <v>1</v>
      </c>
      <c r="M188" s="3" t="str">
        <f t="shared" si="17"/>
        <v>Nice weather</v>
      </c>
      <c r="N188" s="3">
        <v>0.1</v>
      </c>
      <c r="O188">
        <f t="shared" si="18"/>
        <v>10</v>
      </c>
    </row>
    <row r="189" spans="1:15" ht="13.2" x14ac:dyDescent="0.25">
      <c r="A189" s="3">
        <v>188</v>
      </c>
      <c r="B189" s="4">
        <v>40552</v>
      </c>
      <c r="C189" s="3">
        <v>1</v>
      </c>
      <c r="D189" s="3">
        <f t="shared" si="14"/>
        <v>2011</v>
      </c>
      <c r="E189" s="3">
        <v>1</v>
      </c>
      <c r="F189" s="3">
        <v>2</v>
      </c>
      <c r="G189" s="3" t="str">
        <f t="shared" si="15"/>
        <v>Night</v>
      </c>
      <c r="H189" s="3" t="b">
        <v>0</v>
      </c>
      <c r="I189" s="3" t="str">
        <f t="shared" si="13"/>
        <v>Working day</v>
      </c>
      <c r="J189" s="3">
        <v>0</v>
      </c>
      <c r="K189" s="3" t="str">
        <f t="shared" si="16"/>
        <v>Monday</v>
      </c>
      <c r="L189" s="3">
        <v>1</v>
      </c>
      <c r="M189" s="3" t="str">
        <f t="shared" si="17"/>
        <v>Nice weather</v>
      </c>
      <c r="N189" s="3">
        <v>0.1</v>
      </c>
      <c r="O189">
        <f t="shared" si="18"/>
        <v>10</v>
      </c>
    </row>
    <row r="190" spans="1:15" ht="13.2" x14ac:dyDescent="0.25">
      <c r="A190" s="3">
        <v>189</v>
      </c>
      <c r="B190" s="4">
        <v>40552</v>
      </c>
      <c r="C190" s="3">
        <v>1</v>
      </c>
      <c r="D190" s="3">
        <f t="shared" si="14"/>
        <v>2011</v>
      </c>
      <c r="E190" s="3">
        <v>1</v>
      </c>
      <c r="F190" s="3">
        <v>3</v>
      </c>
      <c r="G190" s="3" t="str">
        <f t="shared" si="15"/>
        <v>Night</v>
      </c>
      <c r="H190" s="3" t="b">
        <v>0</v>
      </c>
      <c r="I190" s="3" t="str">
        <f t="shared" si="13"/>
        <v>Working day</v>
      </c>
      <c r="J190" s="3">
        <v>0</v>
      </c>
      <c r="K190" s="3" t="str">
        <f t="shared" si="16"/>
        <v>Monday</v>
      </c>
      <c r="L190" s="3">
        <v>1</v>
      </c>
      <c r="M190" s="3" t="str">
        <f t="shared" si="17"/>
        <v>Nice weather</v>
      </c>
      <c r="N190" s="3">
        <v>0.1</v>
      </c>
      <c r="O190">
        <f t="shared" si="18"/>
        <v>10</v>
      </c>
    </row>
    <row r="191" spans="1:15" ht="13.2" x14ac:dyDescent="0.25">
      <c r="A191" s="3">
        <v>190</v>
      </c>
      <c r="B191" s="4">
        <v>40552</v>
      </c>
      <c r="C191" s="3">
        <v>1</v>
      </c>
      <c r="D191" s="3">
        <f t="shared" si="14"/>
        <v>2011</v>
      </c>
      <c r="E191" s="3">
        <v>1</v>
      </c>
      <c r="F191" s="3">
        <v>4</v>
      </c>
      <c r="G191" s="3" t="str">
        <f t="shared" si="15"/>
        <v>Night</v>
      </c>
      <c r="H191" s="3" t="b">
        <v>0</v>
      </c>
      <c r="I191" s="3" t="str">
        <f t="shared" si="13"/>
        <v>Working day</v>
      </c>
      <c r="J191" s="3">
        <v>0</v>
      </c>
      <c r="K191" s="3" t="str">
        <f t="shared" si="16"/>
        <v>Monday</v>
      </c>
      <c r="L191" s="3">
        <v>1</v>
      </c>
      <c r="M191" s="3" t="str">
        <f t="shared" si="17"/>
        <v>Nice weather</v>
      </c>
      <c r="N191" s="3">
        <v>0.08</v>
      </c>
      <c r="O191">
        <f t="shared" si="18"/>
        <v>8</v>
      </c>
    </row>
    <row r="192" spans="1:15" ht="13.2" x14ac:dyDescent="0.25">
      <c r="A192" s="3">
        <v>191</v>
      </c>
      <c r="B192" s="4">
        <v>40552</v>
      </c>
      <c r="C192" s="3">
        <v>1</v>
      </c>
      <c r="D192" s="3">
        <f t="shared" si="14"/>
        <v>2011</v>
      </c>
      <c r="E192" s="3">
        <v>1</v>
      </c>
      <c r="F192" s="3">
        <v>5</v>
      </c>
      <c r="G192" s="3" t="str">
        <f t="shared" si="15"/>
        <v>Night</v>
      </c>
      <c r="H192" s="3" t="b">
        <v>0</v>
      </c>
      <c r="I192" s="3" t="str">
        <f t="shared" si="13"/>
        <v>Working day</v>
      </c>
      <c r="J192" s="3">
        <v>0</v>
      </c>
      <c r="K192" s="3" t="str">
        <f t="shared" si="16"/>
        <v>Monday</v>
      </c>
      <c r="L192" s="3">
        <v>1</v>
      </c>
      <c r="M192" s="3" t="str">
        <f t="shared" si="17"/>
        <v>Nice weather</v>
      </c>
      <c r="N192" s="3">
        <v>0.08</v>
      </c>
      <c r="O192">
        <f t="shared" si="18"/>
        <v>8</v>
      </c>
    </row>
    <row r="193" spans="1:15" ht="13.2" x14ac:dyDescent="0.25">
      <c r="A193" s="3">
        <v>192</v>
      </c>
      <c r="B193" s="4">
        <v>40552</v>
      </c>
      <c r="C193" s="3">
        <v>1</v>
      </c>
      <c r="D193" s="3">
        <f t="shared" si="14"/>
        <v>2011</v>
      </c>
      <c r="E193" s="3">
        <v>1</v>
      </c>
      <c r="F193" s="3">
        <v>6</v>
      </c>
      <c r="G193" s="3" t="str">
        <f t="shared" si="15"/>
        <v>Morning</v>
      </c>
      <c r="H193" s="3" t="b">
        <v>0</v>
      </c>
      <c r="I193" s="3" t="str">
        <f t="shared" si="13"/>
        <v>Working day</v>
      </c>
      <c r="J193" s="3">
        <v>0</v>
      </c>
      <c r="K193" s="3" t="str">
        <f t="shared" si="16"/>
        <v>Monday</v>
      </c>
      <c r="L193" s="3">
        <v>1</v>
      </c>
      <c r="M193" s="3" t="str">
        <f t="shared" si="17"/>
        <v>Nice weather</v>
      </c>
      <c r="N193" s="3">
        <v>0.1</v>
      </c>
      <c r="O193">
        <f t="shared" si="18"/>
        <v>10</v>
      </c>
    </row>
    <row r="194" spans="1:15" ht="13.2" x14ac:dyDescent="0.25">
      <c r="A194" s="3">
        <v>193</v>
      </c>
      <c r="B194" s="4">
        <v>40552</v>
      </c>
      <c r="C194" s="3">
        <v>1</v>
      </c>
      <c r="D194" s="3">
        <f t="shared" si="14"/>
        <v>2011</v>
      </c>
      <c r="E194" s="3">
        <v>1</v>
      </c>
      <c r="F194" s="3">
        <v>7</v>
      </c>
      <c r="G194" s="3" t="str">
        <f t="shared" si="15"/>
        <v>Morning</v>
      </c>
      <c r="H194" s="3" t="b">
        <v>0</v>
      </c>
      <c r="I194" s="3" t="str">
        <f t="shared" ref="I194:I257" si="19">IF(H194=TRUE,"Holiday","Working day")</f>
        <v>Working day</v>
      </c>
      <c r="J194" s="3">
        <v>0</v>
      </c>
      <c r="K194" s="3" t="str">
        <f t="shared" si="16"/>
        <v>Monday</v>
      </c>
      <c r="L194" s="3">
        <v>1</v>
      </c>
      <c r="M194" s="3" t="str">
        <f t="shared" si="17"/>
        <v>Nice weather</v>
      </c>
      <c r="N194" s="3">
        <v>0.08</v>
      </c>
      <c r="O194">
        <f t="shared" si="18"/>
        <v>8</v>
      </c>
    </row>
    <row r="195" spans="1:15" ht="13.2" x14ac:dyDescent="0.25">
      <c r="A195" s="3">
        <v>194</v>
      </c>
      <c r="B195" s="4">
        <v>40552</v>
      </c>
      <c r="C195" s="3">
        <v>1</v>
      </c>
      <c r="D195" s="3">
        <f t="shared" ref="D195:D258" si="20">YEAR(B195)</f>
        <v>2011</v>
      </c>
      <c r="E195" s="3">
        <v>1</v>
      </c>
      <c r="F195" s="3">
        <v>8</v>
      </c>
      <c r="G195" s="3" t="str">
        <f t="shared" ref="G195:G258" si="21">IF(AND(F195&gt;=0,F195&lt;6),"Night",IF(AND(F195&gt;=6,F195&lt;12),"Morning",IF(AND(F195&lt;18),"Afternoon","Evening")))</f>
        <v>Morning</v>
      </c>
      <c r="H195" s="3" t="b">
        <v>0</v>
      </c>
      <c r="I195" s="3" t="str">
        <f t="shared" si="19"/>
        <v>Working day</v>
      </c>
      <c r="J195" s="3">
        <v>0</v>
      </c>
      <c r="K195" s="3" t="str">
        <f t="shared" ref="K195:K258" si="22">CHOOSE(J195+1,"Monday","Tuesday","Wednesday","Thursday","Friday","Saturday","Sunday")</f>
        <v>Monday</v>
      </c>
      <c r="L195" s="3">
        <v>1</v>
      </c>
      <c r="M195" s="3" t="str">
        <f t="shared" ref="M195:M258" si="23">IF(L195=1,"Nice weather", IF(L195=2,"Mild Cloudy", IF(L195=3,"Dark Cloudy", IF(L195=4,"Thunderstrome","unknown"))))</f>
        <v>Nice weather</v>
      </c>
      <c r="N195" s="3">
        <v>0.1</v>
      </c>
      <c r="O195">
        <f t="shared" ref="O195:O258" si="24">N195*100</f>
        <v>10</v>
      </c>
    </row>
    <row r="196" spans="1:15" ht="13.2" x14ac:dyDescent="0.25">
      <c r="A196" s="3">
        <v>195</v>
      </c>
      <c r="B196" s="4">
        <v>40552</v>
      </c>
      <c r="C196" s="3">
        <v>1</v>
      </c>
      <c r="D196" s="3">
        <f t="shared" si="20"/>
        <v>2011</v>
      </c>
      <c r="E196" s="3">
        <v>1</v>
      </c>
      <c r="F196" s="3">
        <v>9</v>
      </c>
      <c r="G196" s="3" t="str">
        <f t="shared" si="21"/>
        <v>Morning</v>
      </c>
      <c r="H196" s="3" t="b">
        <v>0</v>
      </c>
      <c r="I196" s="3" t="str">
        <f t="shared" si="19"/>
        <v>Working day</v>
      </c>
      <c r="J196" s="3">
        <v>0</v>
      </c>
      <c r="K196" s="3" t="str">
        <f t="shared" si="22"/>
        <v>Monday</v>
      </c>
      <c r="L196" s="3">
        <v>1</v>
      </c>
      <c r="M196" s="3" t="str">
        <f t="shared" si="23"/>
        <v>Nice weather</v>
      </c>
      <c r="N196" s="3">
        <v>0.12</v>
      </c>
      <c r="O196">
        <f t="shared" si="24"/>
        <v>12</v>
      </c>
    </row>
    <row r="197" spans="1:15" ht="13.2" x14ac:dyDescent="0.25">
      <c r="A197" s="3">
        <v>196</v>
      </c>
      <c r="B197" s="4">
        <v>40552</v>
      </c>
      <c r="C197" s="3">
        <v>1</v>
      </c>
      <c r="D197" s="3">
        <f t="shared" si="20"/>
        <v>2011</v>
      </c>
      <c r="E197" s="3">
        <v>1</v>
      </c>
      <c r="F197" s="3">
        <v>10</v>
      </c>
      <c r="G197" s="3" t="str">
        <f t="shared" si="21"/>
        <v>Morning</v>
      </c>
      <c r="H197" s="3" t="b">
        <v>0</v>
      </c>
      <c r="I197" s="3" t="str">
        <f t="shared" si="19"/>
        <v>Working day</v>
      </c>
      <c r="J197" s="3">
        <v>0</v>
      </c>
      <c r="K197" s="3" t="str">
        <f t="shared" si="22"/>
        <v>Monday</v>
      </c>
      <c r="L197" s="3">
        <v>1</v>
      </c>
      <c r="M197" s="3" t="str">
        <f t="shared" si="23"/>
        <v>Nice weather</v>
      </c>
      <c r="N197" s="3">
        <v>0.14000000000000001</v>
      </c>
      <c r="O197">
        <f t="shared" si="24"/>
        <v>14.000000000000002</v>
      </c>
    </row>
    <row r="198" spans="1:15" ht="13.2" x14ac:dyDescent="0.25">
      <c r="A198" s="3">
        <v>197</v>
      </c>
      <c r="B198" s="4">
        <v>40552</v>
      </c>
      <c r="C198" s="3">
        <v>1</v>
      </c>
      <c r="D198" s="3">
        <f t="shared" si="20"/>
        <v>2011</v>
      </c>
      <c r="E198" s="3">
        <v>1</v>
      </c>
      <c r="F198" s="3">
        <v>11</v>
      </c>
      <c r="G198" s="3" t="str">
        <f t="shared" si="21"/>
        <v>Morning</v>
      </c>
      <c r="H198" s="3" t="b">
        <v>0</v>
      </c>
      <c r="I198" s="3" t="str">
        <f t="shared" si="19"/>
        <v>Working day</v>
      </c>
      <c r="J198" s="3">
        <v>0</v>
      </c>
      <c r="K198" s="3" t="str">
        <f t="shared" si="22"/>
        <v>Monday</v>
      </c>
      <c r="L198" s="3">
        <v>1</v>
      </c>
      <c r="M198" s="3" t="str">
        <f t="shared" si="23"/>
        <v>Nice weather</v>
      </c>
      <c r="N198" s="3">
        <v>0.16</v>
      </c>
      <c r="O198">
        <f t="shared" si="24"/>
        <v>16</v>
      </c>
    </row>
    <row r="199" spans="1:15" ht="13.2" x14ac:dyDescent="0.25">
      <c r="A199" s="3">
        <v>198</v>
      </c>
      <c r="B199" s="4">
        <v>40552</v>
      </c>
      <c r="C199" s="3">
        <v>1</v>
      </c>
      <c r="D199" s="3">
        <f t="shared" si="20"/>
        <v>2011</v>
      </c>
      <c r="E199" s="3">
        <v>1</v>
      </c>
      <c r="F199" s="3">
        <v>12</v>
      </c>
      <c r="G199" s="3" t="str">
        <f t="shared" si="21"/>
        <v>Afternoon</v>
      </c>
      <c r="H199" s="3" t="b">
        <v>0</v>
      </c>
      <c r="I199" s="3" t="str">
        <f t="shared" si="19"/>
        <v>Working day</v>
      </c>
      <c r="J199" s="3">
        <v>0</v>
      </c>
      <c r="K199" s="3" t="str">
        <f t="shared" si="22"/>
        <v>Monday</v>
      </c>
      <c r="L199" s="3">
        <v>1</v>
      </c>
      <c r="M199" s="3" t="str">
        <f t="shared" si="23"/>
        <v>Nice weather</v>
      </c>
      <c r="N199" s="3">
        <v>0.18</v>
      </c>
      <c r="O199">
        <f t="shared" si="24"/>
        <v>18</v>
      </c>
    </row>
    <row r="200" spans="1:15" ht="13.2" x14ac:dyDescent="0.25">
      <c r="A200" s="3">
        <v>199</v>
      </c>
      <c r="B200" s="4">
        <v>40552</v>
      </c>
      <c r="C200" s="3">
        <v>1</v>
      </c>
      <c r="D200" s="3">
        <f t="shared" si="20"/>
        <v>2011</v>
      </c>
      <c r="E200" s="3">
        <v>1</v>
      </c>
      <c r="F200" s="3">
        <v>13</v>
      </c>
      <c r="G200" s="3" t="str">
        <f t="shared" si="21"/>
        <v>Afternoon</v>
      </c>
      <c r="H200" s="3" t="b">
        <v>0</v>
      </c>
      <c r="I200" s="3" t="str">
        <f t="shared" si="19"/>
        <v>Working day</v>
      </c>
      <c r="J200" s="3">
        <v>0</v>
      </c>
      <c r="K200" s="3" t="str">
        <f t="shared" si="22"/>
        <v>Monday</v>
      </c>
      <c r="L200" s="3">
        <v>1</v>
      </c>
      <c r="M200" s="3" t="str">
        <f t="shared" si="23"/>
        <v>Nice weather</v>
      </c>
      <c r="N200" s="3">
        <v>0.2</v>
      </c>
      <c r="O200">
        <f t="shared" si="24"/>
        <v>20</v>
      </c>
    </row>
    <row r="201" spans="1:15" ht="13.2" x14ac:dyDescent="0.25">
      <c r="A201" s="3">
        <v>200</v>
      </c>
      <c r="B201" s="4">
        <v>40552</v>
      </c>
      <c r="C201" s="3">
        <v>1</v>
      </c>
      <c r="D201" s="3">
        <f t="shared" si="20"/>
        <v>2011</v>
      </c>
      <c r="E201" s="3">
        <v>1</v>
      </c>
      <c r="F201" s="3">
        <v>14</v>
      </c>
      <c r="G201" s="3" t="str">
        <f t="shared" si="21"/>
        <v>Afternoon</v>
      </c>
      <c r="H201" s="3" t="b">
        <v>0</v>
      </c>
      <c r="I201" s="3" t="str">
        <f t="shared" si="19"/>
        <v>Working day</v>
      </c>
      <c r="J201" s="3">
        <v>0</v>
      </c>
      <c r="K201" s="3" t="str">
        <f t="shared" si="22"/>
        <v>Monday</v>
      </c>
      <c r="L201" s="3">
        <v>1</v>
      </c>
      <c r="M201" s="3" t="str">
        <f t="shared" si="23"/>
        <v>Nice weather</v>
      </c>
      <c r="N201" s="3">
        <v>0.22</v>
      </c>
      <c r="O201">
        <f t="shared" si="24"/>
        <v>22</v>
      </c>
    </row>
    <row r="202" spans="1:15" ht="13.2" x14ac:dyDescent="0.25">
      <c r="A202" s="3">
        <v>201</v>
      </c>
      <c r="B202" s="4">
        <v>40552</v>
      </c>
      <c r="C202" s="3">
        <v>1</v>
      </c>
      <c r="D202" s="3">
        <f t="shared" si="20"/>
        <v>2011</v>
      </c>
      <c r="E202" s="3">
        <v>1</v>
      </c>
      <c r="F202" s="3">
        <v>15</v>
      </c>
      <c r="G202" s="3" t="str">
        <f t="shared" si="21"/>
        <v>Afternoon</v>
      </c>
      <c r="H202" s="3" t="b">
        <v>0</v>
      </c>
      <c r="I202" s="3" t="str">
        <f t="shared" si="19"/>
        <v>Working day</v>
      </c>
      <c r="J202" s="3">
        <v>0</v>
      </c>
      <c r="K202" s="3" t="str">
        <f t="shared" si="22"/>
        <v>Monday</v>
      </c>
      <c r="L202" s="3">
        <v>1</v>
      </c>
      <c r="M202" s="3" t="str">
        <f t="shared" si="23"/>
        <v>Nice weather</v>
      </c>
      <c r="N202" s="3">
        <v>0.22</v>
      </c>
      <c r="O202">
        <f t="shared" si="24"/>
        <v>22</v>
      </c>
    </row>
    <row r="203" spans="1:15" ht="13.2" x14ac:dyDescent="0.25">
      <c r="A203" s="3">
        <v>202</v>
      </c>
      <c r="B203" s="4">
        <v>40552</v>
      </c>
      <c r="C203" s="3">
        <v>1</v>
      </c>
      <c r="D203" s="3">
        <f t="shared" si="20"/>
        <v>2011</v>
      </c>
      <c r="E203" s="3">
        <v>1</v>
      </c>
      <c r="F203" s="3">
        <v>16</v>
      </c>
      <c r="G203" s="3" t="str">
        <f t="shared" si="21"/>
        <v>Afternoon</v>
      </c>
      <c r="H203" s="3" t="b">
        <v>0</v>
      </c>
      <c r="I203" s="3" t="str">
        <f t="shared" si="19"/>
        <v>Working day</v>
      </c>
      <c r="J203" s="3">
        <v>0</v>
      </c>
      <c r="K203" s="3" t="str">
        <f t="shared" si="22"/>
        <v>Monday</v>
      </c>
      <c r="L203" s="3">
        <v>1</v>
      </c>
      <c r="M203" s="3" t="str">
        <f t="shared" si="23"/>
        <v>Nice weather</v>
      </c>
      <c r="N203" s="3">
        <v>0.2</v>
      </c>
      <c r="O203">
        <f t="shared" si="24"/>
        <v>20</v>
      </c>
    </row>
    <row r="204" spans="1:15" ht="13.2" x14ac:dyDescent="0.25">
      <c r="A204" s="3">
        <v>203</v>
      </c>
      <c r="B204" s="4">
        <v>40552</v>
      </c>
      <c r="C204" s="3">
        <v>1</v>
      </c>
      <c r="D204" s="3">
        <f t="shared" si="20"/>
        <v>2011</v>
      </c>
      <c r="E204" s="3">
        <v>1</v>
      </c>
      <c r="F204" s="3">
        <v>17</v>
      </c>
      <c r="G204" s="3" t="str">
        <f t="shared" si="21"/>
        <v>Afternoon</v>
      </c>
      <c r="H204" s="3" t="b">
        <v>0</v>
      </c>
      <c r="I204" s="3" t="str">
        <f t="shared" si="19"/>
        <v>Working day</v>
      </c>
      <c r="J204" s="3">
        <v>0</v>
      </c>
      <c r="K204" s="3" t="str">
        <f t="shared" si="22"/>
        <v>Monday</v>
      </c>
      <c r="L204" s="3">
        <v>1</v>
      </c>
      <c r="M204" s="3" t="str">
        <f t="shared" si="23"/>
        <v>Nice weather</v>
      </c>
      <c r="N204" s="3">
        <v>0.18</v>
      </c>
      <c r="O204">
        <f t="shared" si="24"/>
        <v>18</v>
      </c>
    </row>
    <row r="205" spans="1:15" ht="13.2" x14ac:dyDescent="0.25">
      <c r="A205" s="3">
        <v>204</v>
      </c>
      <c r="B205" s="4">
        <v>40552</v>
      </c>
      <c r="C205" s="3">
        <v>1</v>
      </c>
      <c r="D205" s="3">
        <f t="shared" si="20"/>
        <v>2011</v>
      </c>
      <c r="E205" s="3">
        <v>1</v>
      </c>
      <c r="F205" s="3">
        <v>18</v>
      </c>
      <c r="G205" s="3" t="str">
        <f t="shared" si="21"/>
        <v>Evening</v>
      </c>
      <c r="H205" s="3" t="b">
        <v>0</v>
      </c>
      <c r="I205" s="3" t="str">
        <f t="shared" si="19"/>
        <v>Working day</v>
      </c>
      <c r="J205" s="3">
        <v>0</v>
      </c>
      <c r="K205" s="3" t="str">
        <f t="shared" si="22"/>
        <v>Monday</v>
      </c>
      <c r="L205" s="3">
        <v>1</v>
      </c>
      <c r="M205" s="3" t="str">
        <f t="shared" si="23"/>
        <v>Nice weather</v>
      </c>
      <c r="N205" s="3">
        <v>0.16</v>
      </c>
      <c r="O205">
        <f t="shared" si="24"/>
        <v>16</v>
      </c>
    </row>
    <row r="206" spans="1:15" ht="13.2" x14ac:dyDescent="0.25">
      <c r="A206" s="3">
        <v>205</v>
      </c>
      <c r="B206" s="4">
        <v>40552</v>
      </c>
      <c r="C206" s="3">
        <v>1</v>
      </c>
      <c r="D206" s="3">
        <f t="shared" si="20"/>
        <v>2011</v>
      </c>
      <c r="E206" s="3">
        <v>1</v>
      </c>
      <c r="F206" s="3">
        <v>19</v>
      </c>
      <c r="G206" s="3" t="str">
        <f t="shared" si="21"/>
        <v>Evening</v>
      </c>
      <c r="H206" s="3" t="b">
        <v>0</v>
      </c>
      <c r="I206" s="3" t="str">
        <f t="shared" si="19"/>
        <v>Working day</v>
      </c>
      <c r="J206" s="3">
        <v>0</v>
      </c>
      <c r="K206" s="3" t="str">
        <f t="shared" si="22"/>
        <v>Monday</v>
      </c>
      <c r="L206" s="3">
        <v>1</v>
      </c>
      <c r="M206" s="3" t="str">
        <f t="shared" si="23"/>
        <v>Nice weather</v>
      </c>
      <c r="N206" s="3">
        <v>0.16</v>
      </c>
      <c r="O206">
        <f t="shared" si="24"/>
        <v>16</v>
      </c>
    </row>
    <row r="207" spans="1:15" ht="13.2" x14ac:dyDescent="0.25">
      <c r="A207" s="3">
        <v>206</v>
      </c>
      <c r="B207" s="4">
        <v>40552</v>
      </c>
      <c r="C207" s="3">
        <v>1</v>
      </c>
      <c r="D207" s="3">
        <f t="shared" si="20"/>
        <v>2011</v>
      </c>
      <c r="E207" s="3">
        <v>1</v>
      </c>
      <c r="F207" s="3">
        <v>20</v>
      </c>
      <c r="G207" s="3" t="str">
        <f t="shared" si="21"/>
        <v>Evening</v>
      </c>
      <c r="H207" s="3" t="b">
        <v>0</v>
      </c>
      <c r="I207" s="3" t="str">
        <f t="shared" si="19"/>
        <v>Working day</v>
      </c>
      <c r="J207" s="3">
        <v>0</v>
      </c>
      <c r="K207" s="3" t="str">
        <f t="shared" si="22"/>
        <v>Monday</v>
      </c>
      <c r="L207" s="3">
        <v>1</v>
      </c>
      <c r="M207" s="3" t="str">
        <f t="shared" si="23"/>
        <v>Nice weather</v>
      </c>
      <c r="N207" s="3">
        <v>0.14000000000000001</v>
      </c>
      <c r="O207">
        <f t="shared" si="24"/>
        <v>14.000000000000002</v>
      </c>
    </row>
    <row r="208" spans="1:15" ht="13.2" x14ac:dyDescent="0.25">
      <c r="A208" s="3">
        <v>207</v>
      </c>
      <c r="B208" s="4">
        <v>40552</v>
      </c>
      <c r="C208" s="3">
        <v>1</v>
      </c>
      <c r="D208" s="3">
        <f t="shared" si="20"/>
        <v>2011</v>
      </c>
      <c r="E208" s="3">
        <v>1</v>
      </c>
      <c r="F208" s="3">
        <v>21</v>
      </c>
      <c r="G208" s="3" t="str">
        <f t="shared" si="21"/>
        <v>Evening</v>
      </c>
      <c r="H208" s="3" t="b">
        <v>0</v>
      </c>
      <c r="I208" s="3" t="str">
        <f t="shared" si="19"/>
        <v>Working day</v>
      </c>
      <c r="J208" s="3">
        <v>0</v>
      </c>
      <c r="K208" s="3" t="str">
        <f t="shared" si="22"/>
        <v>Monday</v>
      </c>
      <c r="L208" s="3">
        <v>1</v>
      </c>
      <c r="M208" s="3" t="str">
        <f t="shared" si="23"/>
        <v>Nice weather</v>
      </c>
      <c r="N208" s="3">
        <v>0.14000000000000001</v>
      </c>
      <c r="O208">
        <f t="shared" si="24"/>
        <v>14.000000000000002</v>
      </c>
    </row>
    <row r="209" spans="1:15" ht="13.2" x14ac:dyDescent="0.25">
      <c r="A209" s="3">
        <v>208</v>
      </c>
      <c r="B209" s="4">
        <v>40552</v>
      </c>
      <c r="C209" s="3">
        <v>1</v>
      </c>
      <c r="D209" s="3">
        <f t="shared" si="20"/>
        <v>2011</v>
      </c>
      <c r="E209" s="3">
        <v>1</v>
      </c>
      <c r="F209" s="3">
        <v>22</v>
      </c>
      <c r="G209" s="3" t="str">
        <f t="shared" si="21"/>
        <v>Evening</v>
      </c>
      <c r="H209" s="3" t="b">
        <v>0</v>
      </c>
      <c r="I209" s="3" t="str">
        <f t="shared" si="19"/>
        <v>Working day</v>
      </c>
      <c r="J209" s="3">
        <v>0</v>
      </c>
      <c r="K209" s="3" t="str">
        <f t="shared" si="22"/>
        <v>Monday</v>
      </c>
      <c r="L209" s="3">
        <v>1</v>
      </c>
      <c r="M209" s="3" t="str">
        <f t="shared" si="23"/>
        <v>Nice weather</v>
      </c>
      <c r="N209" s="3">
        <v>0.14000000000000001</v>
      </c>
      <c r="O209">
        <f t="shared" si="24"/>
        <v>14.000000000000002</v>
      </c>
    </row>
    <row r="210" spans="1:15" ht="13.2" x14ac:dyDescent="0.25">
      <c r="A210" s="3">
        <v>209</v>
      </c>
      <c r="B210" s="4">
        <v>40552</v>
      </c>
      <c r="C210" s="3">
        <v>1</v>
      </c>
      <c r="D210" s="3">
        <f t="shared" si="20"/>
        <v>2011</v>
      </c>
      <c r="E210" s="3">
        <v>1</v>
      </c>
      <c r="F210" s="3">
        <v>23</v>
      </c>
      <c r="G210" s="3" t="str">
        <f t="shared" si="21"/>
        <v>Evening</v>
      </c>
      <c r="H210" s="3" t="b">
        <v>0</v>
      </c>
      <c r="I210" s="3" t="str">
        <f t="shared" si="19"/>
        <v>Working day</v>
      </c>
      <c r="J210" s="3">
        <v>0</v>
      </c>
      <c r="K210" s="3" t="str">
        <f t="shared" si="22"/>
        <v>Monday</v>
      </c>
      <c r="L210" s="3">
        <v>1</v>
      </c>
      <c r="M210" s="3" t="str">
        <f t="shared" si="23"/>
        <v>Nice weather</v>
      </c>
      <c r="N210" s="3">
        <v>0.12</v>
      </c>
      <c r="O210">
        <f t="shared" si="24"/>
        <v>12</v>
      </c>
    </row>
    <row r="211" spans="1:15" ht="13.2" x14ac:dyDescent="0.25">
      <c r="A211" s="3">
        <v>210</v>
      </c>
      <c r="B211" s="4">
        <v>40553</v>
      </c>
      <c r="C211" s="3">
        <v>1</v>
      </c>
      <c r="D211" s="3">
        <f t="shared" si="20"/>
        <v>2011</v>
      </c>
      <c r="E211" s="3">
        <v>1</v>
      </c>
      <c r="F211" s="3">
        <v>0</v>
      </c>
      <c r="G211" s="3" t="str">
        <f t="shared" si="21"/>
        <v>Night</v>
      </c>
      <c r="H211" s="3" t="b">
        <v>0</v>
      </c>
      <c r="I211" s="3" t="str">
        <f t="shared" si="19"/>
        <v>Working day</v>
      </c>
      <c r="J211" s="3">
        <v>1</v>
      </c>
      <c r="K211" s="3" t="str">
        <f t="shared" si="22"/>
        <v>Tuesday</v>
      </c>
      <c r="L211" s="3">
        <v>1</v>
      </c>
      <c r="M211" s="3" t="str">
        <f t="shared" si="23"/>
        <v>Nice weather</v>
      </c>
      <c r="N211" s="3">
        <v>0.12</v>
      </c>
      <c r="O211">
        <f t="shared" si="24"/>
        <v>12</v>
      </c>
    </row>
    <row r="212" spans="1:15" ht="13.2" x14ac:dyDescent="0.25">
      <c r="A212" s="3">
        <v>211</v>
      </c>
      <c r="B212" s="4">
        <v>40553</v>
      </c>
      <c r="C212" s="3">
        <v>1</v>
      </c>
      <c r="D212" s="3">
        <f t="shared" si="20"/>
        <v>2011</v>
      </c>
      <c r="E212" s="3">
        <v>1</v>
      </c>
      <c r="F212" s="3">
        <v>1</v>
      </c>
      <c r="G212" s="3" t="str">
        <f t="shared" si="21"/>
        <v>Night</v>
      </c>
      <c r="H212" s="3" t="b">
        <v>0</v>
      </c>
      <c r="I212" s="3" t="str">
        <f t="shared" si="19"/>
        <v>Working day</v>
      </c>
      <c r="J212" s="3">
        <v>1</v>
      </c>
      <c r="K212" s="3" t="str">
        <f t="shared" si="22"/>
        <v>Tuesday</v>
      </c>
      <c r="L212" s="3">
        <v>1</v>
      </c>
      <c r="M212" s="3" t="str">
        <f t="shared" si="23"/>
        <v>Nice weather</v>
      </c>
      <c r="N212" s="3">
        <v>0.12</v>
      </c>
      <c r="O212">
        <f t="shared" si="24"/>
        <v>12</v>
      </c>
    </row>
    <row r="213" spans="1:15" ht="13.2" x14ac:dyDescent="0.25">
      <c r="A213" s="3">
        <v>212</v>
      </c>
      <c r="B213" s="4">
        <v>40553</v>
      </c>
      <c r="C213" s="3">
        <v>1</v>
      </c>
      <c r="D213" s="3">
        <f t="shared" si="20"/>
        <v>2011</v>
      </c>
      <c r="E213" s="3">
        <v>1</v>
      </c>
      <c r="F213" s="3">
        <v>2</v>
      </c>
      <c r="G213" s="3" t="str">
        <f t="shared" si="21"/>
        <v>Night</v>
      </c>
      <c r="H213" s="3" t="b">
        <v>0</v>
      </c>
      <c r="I213" s="3" t="str">
        <f t="shared" si="19"/>
        <v>Working day</v>
      </c>
      <c r="J213" s="3">
        <v>1</v>
      </c>
      <c r="K213" s="3" t="str">
        <f t="shared" si="22"/>
        <v>Tuesday</v>
      </c>
      <c r="L213" s="3">
        <v>1</v>
      </c>
      <c r="M213" s="3" t="str">
        <f t="shared" si="23"/>
        <v>Nice weather</v>
      </c>
      <c r="N213" s="3">
        <v>0.12</v>
      </c>
      <c r="O213">
        <f t="shared" si="24"/>
        <v>12</v>
      </c>
    </row>
    <row r="214" spans="1:15" ht="13.2" x14ac:dyDescent="0.25">
      <c r="A214" s="3">
        <v>213</v>
      </c>
      <c r="B214" s="4">
        <v>40553</v>
      </c>
      <c r="C214" s="3">
        <v>1</v>
      </c>
      <c r="D214" s="3">
        <f t="shared" si="20"/>
        <v>2011</v>
      </c>
      <c r="E214" s="3">
        <v>1</v>
      </c>
      <c r="F214" s="3">
        <v>3</v>
      </c>
      <c r="G214" s="3" t="str">
        <f t="shared" si="21"/>
        <v>Night</v>
      </c>
      <c r="H214" s="3" t="b">
        <v>0</v>
      </c>
      <c r="I214" s="3" t="str">
        <f t="shared" si="19"/>
        <v>Working day</v>
      </c>
      <c r="J214" s="3">
        <v>1</v>
      </c>
      <c r="K214" s="3" t="str">
        <f t="shared" si="22"/>
        <v>Tuesday</v>
      </c>
      <c r="L214" s="3">
        <v>1</v>
      </c>
      <c r="M214" s="3" t="str">
        <f t="shared" si="23"/>
        <v>Nice weather</v>
      </c>
      <c r="N214" s="3">
        <v>0.12</v>
      </c>
      <c r="O214">
        <f t="shared" si="24"/>
        <v>12</v>
      </c>
    </row>
    <row r="215" spans="1:15" ht="13.2" x14ac:dyDescent="0.25">
      <c r="A215" s="3">
        <v>214</v>
      </c>
      <c r="B215" s="4">
        <v>40553</v>
      </c>
      <c r="C215" s="3">
        <v>1</v>
      </c>
      <c r="D215" s="3">
        <f t="shared" si="20"/>
        <v>2011</v>
      </c>
      <c r="E215" s="3">
        <v>1</v>
      </c>
      <c r="F215" s="3">
        <v>4</v>
      </c>
      <c r="G215" s="3" t="str">
        <f t="shared" si="21"/>
        <v>Night</v>
      </c>
      <c r="H215" s="3" t="b">
        <v>0</v>
      </c>
      <c r="I215" s="3" t="str">
        <f t="shared" si="19"/>
        <v>Working day</v>
      </c>
      <c r="J215" s="3">
        <v>1</v>
      </c>
      <c r="K215" s="3" t="str">
        <f t="shared" si="22"/>
        <v>Tuesday</v>
      </c>
      <c r="L215" s="3">
        <v>1</v>
      </c>
      <c r="M215" s="3" t="str">
        <f t="shared" si="23"/>
        <v>Nice weather</v>
      </c>
      <c r="N215" s="3">
        <v>0.1</v>
      </c>
      <c r="O215">
        <f t="shared" si="24"/>
        <v>10</v>
      </c>
    </row>
    <row r="216" spans="1:15" ht="13.2" x14ac:dyDescent="0.25">
      <c r="A216" s="3">
        <v>215</v>
      </c>
      <c r="B216" s="4">
        <v>40553</v>
      </c>
      <c r="C216" s="3">
        <v>1</v>
      </c>
      <c r="D216" s="3">
        <f t="shared" si="20"/>
        <v>2011</v>
      </c>
      <c r="E216" s="3">
        <v>1</v>
      </c>
      <c r="F216" s="3">
        <v>5</v>
      </c>
      <c r="G216" s="3" t="str">
        <f t="shared" si="21"/>
        <v>Night</v>
      </c>
      <c r="H216" s="3" t="b">
        <v>0</v>
      </c>
      <c r="I216" s="3" t="str">
        <f t="shared" si="19"/>
        <v>Working day</v>
      </c>
      <c r="J216" s="3">
        <v>1</v>
      </c>
      <c r="K216" s="3" t="str">
        <f t="shared" si="22"/>
        <v>Tuesday</v>
      </c>
      <c r="L216" s="3">
        <v>1</v>
      </c>
      <c r="M216" s="3" t="str">
        <f t="shared" si="23"/>
        <v>Nice weather</v>
      </c>
      <c r="N216" s="3">
        <v>0.1</v>
      </c>
      <c r="O216">
        <f t="shared" si="24"/>
        <v>10</v>
      </c>
    </row>
    <row r="217" spans="1:15" ht="13.2" x14ac:dyDescent="0.25">
      <c r="A217" s="3">
        <v>216</v>
      </c>
      <c r="B217" s="4">
        <v>40553</v>
      </c>
      <c r="C217" s="3">
        <v>1</v>
      </c>
      <c r="D217" s="3">
        <f t="shared" si="20"/>
        <v>2011</v>
      </c>
      <c r="E217" s="3">
        <v>1</v>
      </c>
      <c r="F217" s="3">
        <v>6</v>
      </c>
      <c r="G217" s="3" t="str">
        <f t="shared" si="21"/>
        <v>Morning</v>
      </c>
      <c r="H217" s="3" t="b">
        <v>0</v>
      </c>
      <c r="I217" s="3" t="str">
        <f t="shared" si="19"/>
        <v>Working day</v>
      </c>
      <c r="J217" s="3">
        <v>1</v>
      </c>
      <c r="K217" s="3" t="str">
        <f t="shared" si="22"/>
        <v>Tuesday</v>
      </c>
      <c r="L217" s="3">
        <v>1</v>
      </c>
      <c r="M217" s="3" t="str">
        <f t="shared" si="23"/>
        <v>Nice weather</v>
      </c>
      <c r="N217" s="3">
        <v>0.12</v>
      </c>
      <c r="O217">
        <f t="shared" si="24"/>
        <v>12</v>
      </c>
    </row>
    <row r="218" spans="1:15" ht="13.2" x14ac:dyDescent="0.25">
      <c r="A218" s="3">
        <v>217</v>
      </c>
      <c r="B218" s="4">
        <v>40553</v>
      </c>
      <c r="C218" s="3">
        <v>1</v>
      </c>
      <c r="D218" s="3">
        <f t="shared" si="20"/>
        <v>2011</v>
      </c>
      <c r="E218" s="3">
        <v>1</v>
      </c>
      <c r="F218" s="3">
        <v>7</v>
      </c>
      <c r="G218" s="3" t="str">
        <f t="shared" si="21"/>
        <v>Morning</v>
      </c>
      <c r="H218" s="3" t="b">
        <v>0</v>
      </c>
      <c r="I218" s="3" t="str">
        <f t="shared" si="19"/>
        <v>Working day</v>
      </c>
      <c r="J218" s="3">
        <v>1</v>
      </c>
      <c r="K218" s="3" t="str">
        <f t="shared" si="22"/>
        <v>Tuesday</v>
      </c>
      <c r="L218" s="3">
        <v>1</v>
      </c>
      <c r="M218" s="3" t="str">
        <f t="shared" si="23"/>
        <v>Nice weather</v>
      </c>
      <c r="N218" s="3">
        <v>0.12</v>
      </c>
      <c r="O218">
        <f t="shared" si="24"/>
        <v>12</v>
      </c>
    </row>
    <row r="219" spans="1:15" ht="13.2" x14ac:dyDescent="0.25">
      <c r="A219" s="3">
        <v>218</v>
      </c>
      <c r="B219" s="4">
        <v>40553</v>
      </c>
      <c r="C219" s="3">
        <v>1</v>
      </c>
      <c r="D219" s="3">
        <f t="shared" si="20"/>
        <v>2011</v>
      </c>
      <c r="E219" s="3">
        <v>1</v>
      </c>
      <c r="F219" s="3">
        <v>8</v>
      </c>
      <c r="G219" s="3" t="str">
        <f t="shared" si="21"/>
        <v>Morning</v>
      </c>
      <c r="H219" s="3" t="b">
        <v>0</v>
      </c>
      <c r="I219" s="3" t="str">
        <f t="shared" si="19"/>
        <v>Working day</v>
      </c>
      <c r="J219" s="3">
        <v>1</v>
      </c>
      <c r="K219" s="3" t="str">
        <f t="shared" si="22"/>
        <v>Tuesday</v>
      </c>
      <c r="L219" s="3">
        <v>2</v>
      </c>
      <c r="M219" s="3" t="str">
        <f t="shared" si="23"/>
        <v>Mild Cloudy</v>
      </c>
      <c r="N219" s="3">
        <v>0.12</v>
      </c>
      <c r="O219">
        <f t="shared" si="24"/>
        <v>12</v>
      </c>
    </row>
    <row r="220" spans="1:15" ht="13.2" x14ac:dyDescent="0.25">
      <c r="A220" s="3">
        <v>219</v>
      </c>
      <c r="B220" s="4">
        <v>40553</v>
      </c>
      <c r="C220" s="3">
        <v>1</v>
      </c>
      <c r="D220" s="3">
        <f t="shared" si="20"/>
        <v>2011</v>
      </c>
      <c r="E220" s="3">
        <v>1</v>
      </c>
      <c r="F220" s="3">
        <v>9</v>
      </c>
      <c r="G220" s="3" t="str">
        <f t="shared" si="21"/>
        <v>Morning</v>
      </c>
      <c r="H220" s="3" t="b">
        <v>0</v>
      </c>
      <c r="I220" s="3" t="str">
        <f t="shared" si="19"/>
        <v>Working day</v>
      </c>
      <c r="J220" s="3">
        <v>1</v>
      </c>
      <c r="K220" s="3" t="str">
        <f t="shared" si="22"/>
        <v>Tuesday</v>
      </c>
      <c r="L220" s="3">
        <v>2</v>
      </c>
      <c r="M220" s="3" t="str">
        <f t="shared" si="23"/>
        <v>Mild Cloudy</v>
      </c>
      <c r="N220" s="3">
        <v>0.14000000000000001</v>
      </c>
      <c r="O220">
        <f t="shared" si="24"/>
        <v>14.000000000000002</v>
      </c>
    </row>
    <row r="221" spans="1:15" ht="13.2" x14ac:dyDescent="0.25">
      <c r="A221" s="3">
        <v>220</v>
      </c>
      <c r="B221" s="4">
        <v>40553</v>
      </c>
      <c r="C221" s="3">
        <v>1</v>
      </c>
      <c r="D221" s="3">
        <f t="shared" si="20"/>
        <v>2011</v>
      </c>
      <c r="E221" s="3">
        <v>1</v>
      </c>
      <c r="F221" s="3">
        <v>10</v>
      </c>
      <c r="G221" s="3" t="str">
        <f t="shared" si="21"/>
        <v>Morning</v>
      </c>
      <c r="H221" s="3" t="b">
        <v>0</v>
      </c>
      <c r="I221" s="3" t="str">
        <f t="shared" si="19"/>
        <v>Working day</v>
      </c>
      <c r="J221" s="3">
        <v>1</v>
      </c>
      <c r="K221" s="3" t="str">
        <f t="shared" si="22"/>
        <v>Tuesday</v>
      </c>
      <c r="L221" s="3">
        <v>2</v>
      </c>
      <c r="M221" s="3" t="str">
        <f t="shared" si="23"/>
        <v>Mild Cloudy</v>
      </c>
      <c r="N221" s="3">
        <v>0.14000000000000001</v>
      </c>
      <c r="O221">
        <f t="shared" si="24"/>
        <v>14.000000000000002</v>
      </c>
    </row>
    <row r="222" spans="1:15" ht="13.2" x14ac:dyDescent="0.25">
      <c r="A222" s="3">
        <v>221</v>
      </c>
      <c r="B222" s="4">
        <v>40553</v>
      </c>
      <c r="C222" s="3">
        <v>1</v>
      </c>
      <c r="D222" s="3">
        <f t="shared" si="20"/>
        <v>2011</v>
      </c>
      <c r="E222" s="3">
        <v>1</v>
      </c>
      <c r="F222" s="3">
        <v>11</v>
      </c>
      <c r="G222" s="3" t="str">
        <f t="shared" si="21"/>
        <v>Morning</v>
      </c>
      <c r="H222" s="3" t="b">
        <v>0</v>
      </c>
      <c r="I222" s="3" t="str">
        <f t="shared" si="19"/>
        <v>Working day</v>
      </c>
      <c r="J222" s="3">
        <v>1</v>
      </c>
      <c r="K222" s="3" t="str">
        <f t="shared" si="22"/>
        <v>Tuesday</v>
      </c>
      <c r="L222" s="3">
        <v>2</v>
      </c>
      <c r="M222" s="3" t="str">
        <f t="shared" si="23"/>
        <v>Mild Cloudy</v>
      </c>
      <c r="N222" s="3">
        <v>0.16</v>
      </c>
      <c r="O222">
        <f t="shared" si="24"/>
        <v>16</v>
      </c>
    </row>
    <row r="223" spans="1:15" ht="13.2" x14ac:dyDescent="0.25">
      <c r="A223" s="3">
        <v>222</v>
      </c>
      <c r="B223" s="4">
        <v>40553</v>
      </c>
      <c r="C223" s="3">
        <v>1</v>
      </c>
      <c r="D223" s="3">
        <f t="shared" si="20"/>
        <v>2011</v>
      </c>
      <c r="E223" s="3">
        <v>1</v>
      </c>
      <c r="F223" s="3">
        <v>12</v>
      </c>
      <c r="G223" s="3" t="str">
        <f t="shared" si="21"/>
        <v>Afternoon</v>
      </c>
      <c r="H223" s="3" t="b">
        <v>0</v>
      </c>
      <c r="I223" s="3" t="str">
        <f t="shared" si="19"/>
        <v>Working day</v>
      </c>
      <c r="J223" s="3">
        <v>1</v>
      </c>
      <c r="K223" s="3" t="str">
        <f t="shared" si="22"/>
        <v>Tuesday</v>
      </c>
      <c r="L223" s="3">
        <v>2</v>
      </c>
      <c r="M223" s="3" t="str">
        <f t="shared" si="23"/>
        <v>Mild Cloudy</v>
      </c>
      <c r="N223" s="3">
        <v>0.2</v>
      </c>
      <c r="O223">
        <f t="shared" si="24"/>
        <v>20</v>
      </c>
    </row>
    <row r="224" spans="1:15" ht="13.2" x14ac:dyDescent="0.25">
      <c r="A224" s="3">
        <v>223</v>
      </c>
      <c r="B224" s="4">
        <v>40553</v>
      </c>
      <c r="C224" s="3">
        <v>1</v>
      </c>
      <c r="D224" s="3">
        <f t="shared" si="20"/>
        <v>2011</v>
      </c>
      <c r="E224" s="3">
        <v>1</v>
      </c>
      <c r="F224" s="3">
        <v>13</v>
      </c>
      <c r="G224" s="3" t="str">
        <f t="shared" si="21"/>
        <v>Afternoon</v>
      </c>
      <c r="H224" s="3" t="b">
        <v>0</v>
      </c>
      <c r="I224" s="3" t="str">
        <f t="shared" si="19"/>
        <v>Working day</v>
      </c>
      <c r="J224" s="3">
        <v>1</v>
      </c>
      <c r="K224" s="3" t="str">
        <f t="shared" si="22"/>
        <v>Tuesday</v>
      </c>
      <c r="L224" s="3">
        <v>2</v>
      </c>
      <c r="M224" s="3" t="str">
        <f t="shared" si="23"/>
        <v>Mild Cloudy</v>
      </c>
      <c r="N224" s="3">
        <v>0.2</v>
      </c>
      <c r="O224">
        <f t="shared" si="24"/>
        <v>20</v>
      </c>
    </row>
    <row r="225" spans="1:15" ht="13.2" x14ac:dyDescent="0.25">
      <c r="A225" s="3">
        <v>224</v>
      </c>
      <c r="B225" s="4">
        <v>40553</v>
      </c>
      <c r="C225" s="3">
        <v>1</v>
      </c>
      <c r="D225" s="3">
        <f t="shared" si="20"/>
        <v>2011</v>
      </c>
      <c r="E225" s="3">
        <v>1</v>
      </c>
      <c r="F225" s="3">
        <v>14</v>
      </c>
      <c r="G225" s="3" t="str">
        <f t="shared" si="21"/>
        <v>Afternoon</v>
      </c>
      <c r="H225" s="3" t="b">
        <v>0</v>
      </c>
      <c r="I225" s="3" t="str">
        <f t="shared" si="19"/>
        <v>Working day</v>
      </c>
      <c r="J225" s="3">
        <v>1</v>
      </c>
      <c r="K225" s="3" t="str">
        <f t="shared" si="22"/>
        <v>Tuesday</v>
      </c>
      <c r="L225" s="3">
        <v>2</v>
      </c>
      <c r="M225" s="3" t="str">
        <f t="shared" si="23"/>
        <v>Mild Cloudy</v>
      </c>
      <c r="N225" s="3">
        <v>0.2</v>
      </c>
      <c r="O225">
        <f t="shared" si="24"/>
        <v>20</v>
      </c>
    </row>
    <row r="226" spans="1:15" ht="13.2" x14ac:dyDescent="0.25">
      <c r="A226" s="3">
        <v>225</v>
      </c>
      <c r="B226" s="4">
        <v>40553</v>
      </c>
      <c r="C226" s="3">
        <v>1</v>
      </c>
      <c r="D226" s="3">
        <f t="shared" si="20"/>
        <v>2011</v>
      </c>
      <c r="E226" s="3">
        <v>1</v>
      </c>
      <c r="F226" s="3">
        <v>15</v>
      </c>
      <c r="G226" s="3" t="str">
        <f t="shared" si="21"/>
        <v>Afternoon</v>
      </c>
      <c r="H226" s="3" t="b">
        <v>0</v>
      </c>
      <c r="I226" s="3" t="str">
        <f t="shared" si="19"/>
        <v>Working day</v>
      </c>
      <c r="J226" s="3">
        <v>1</v>
      </c>
      <c r="K226" s="3" t="str">
        <f t="shared" si="22"/>
        <v>Tuesday</v>
      </c>
      <c r="L226" s="3">
        <v>2</v>
      </c>
      <c r="M226" s="3" t="str">
        <f t="shared" si="23"/>
        <v>Mild Cloudy</v>
      </c>
      <c r="N226" s="3">
        <v>0.2</v>
      </c>
      <c r="O226">
        <f t="shared" si="24"/>
        <v>20</v>
      </c>
    </row>
    <row r="227" spans="1:15" ht="13.2" x14ac:dyDescent="0.25">
      <c r="A227" s="3">
        <v>226</v>
      </c>
      <c r="B227" s="4">
        <v>40553</v>
      </c>
      <c r="C227" s="3">
        <v>1</v>
      </c>
      <c r="D227" s="3">
        <f t="shared" si="20"/>
        <v>2011</v>
      </c>
      <c r="E227" s="3">
        <v>1</v>
      </c>
      <c r="F227" s="3">
        <v>16</v>
      </c>
      <c r="G227" s="3" t="str">
        <f t="shared" si="21"/>
        <v>Afternoon</v>
      </c>
      <c r="H227" s="3" t="b">
        <v>0</v>
      </c>
      <c r="I227" s="3" t="str">
        <f t="shared" si="19"/>
        <v>Working day</v>
      </c>
      <c r="J227" s="3">
        <v>1</v>
      </c>
      <c r="K227" s="3" t="str">
        <f t="shared" si="22"/>
        <v>Tuesday</v>
      </c>
      <c r="L227" s="3">
        <v>1</v>
      </c>
      <c r="M227" s="3" t="str">
        <f t="shared" si="23"/>
        <v>Nice weather</v>
      </c>
      <c r="N227" s="3">
        <v>0.2</v>
      </c>
      <c r="O227">
        <f t="shared" si="24"/>
        <v>20</v>
      </c>
    </row>
    <row r="228" spans="1:15" ht="13.2" x14ac:dyDescent="0.25">
      <c r="A228" s="3">
        <v>227</v>
      </c>
      <c r="B228" s="4">
        <v>40553</v>
      </c>
      <c r="C228" s="3">
        <v>1</v>
      </c>
      <c r="D228" s="3">
        <f t="shared" si="20"/>
        <v>2011</v>
      </c>
      <c r="E228" s="3">
        <v>1</v>
      </c>
      <c r="F228" s="3">
        <v>17</v>
      </c>
      <c r="G228" s="3" t="str">
        <f t="shared" si="21"/>
        <v>Afternoon</v>
      </c>
      <c r="H228" s="3" t="b">
        <v>0</v>
      </c>
      <c r="I228" s="3" t="str">
        <f t="shared" si="19"/>
        <v>Working day</v>
      </c>
      <c r="J228" s="3">
        <v>1</v>
      </c>
      <c r="K228" s="3" t="str">
        <f t="shared" si="22"/>
        <v>Tuesday</v>
      </c>
      <c r="L228" s="3">
        <v>1</v>
      </c>
      <c r="M228" s="3" t="str">
        <f t="shared" si="23"/>
        <v>Nice weather</v>
      </c>
      <c r="N228" s="3">
        <v>0.2</v>
      </c>
      <c r="O228">
        <f t="shared" si="24"/>
        <v>20</v>
      </c>
    </row>
    <row r="229" spans="1:15" ht="13.2" x14ac:dyDescent="0.25">
      <c r="A229" s="3">
        <v>228</v>
      </c>
      <c r="B229" s="4">
        <v>40553</v>
      </c>
      <c r="C229" s="3">
        <v>1</v>
      </c>
      <c r="D229" s="3">
        <f t="shared" si="20"/>
        <v>2011</v>
      </c>
      <c r="E229" s="3">
        <v>1</v>
      </c>
      <c r="F229" s="3">
        <v>18</v>
      </c>
      <c r="G229" s="3" t="str">
        <f t="shared" si="21"/>
        <v>Evening</v>
      </c>
      <c r="H229" s="3" t="b">
        <v>0</v>
      </c>
      <c r="I229" s="3" t="str">
        <f t="shared" si="19"/>
        <v>Working day</v>
      </c>
      <c r="J229" s="3">
        <v>1</v>
      </c>
      <c r="K229" s="3" t="str">
        <f t="shared" si="22"/>
        <v>Tuesday</v>
      </c>
      <c r="L229" s="3">
        <v>1</v>
      </c>
      <c r="M229" s="3" t="str">
        <f t="shared" si="23"/>
        <v>Nice weather</v>
      </c>
      <c r="N229" s="3">
        <v>0.2</v>
      </c>
      <c r="O229">
        <f t="shared" si="24"/>
        <v>20</v>
      </c>
    </row>
    <row r="230" spans="1:15" ht="13.2" x14ac:dyDescent="0.25">
      <c r="A230" s="3">
        <v>229</v>
      </c>
      <c r="B230" s="4">
        <v>40553</v>
      </c>
      <c r="C230" s="3">
        <v>1</v>
      </c>
      <c r="D230" s="3">
        <f t="shared" si="20"/>
        <v>2011</v>
      </c>
      <c r="E230" s="3">
        <v>1</v>
      </c>
      <c r="F230" s="3">
        <v>19</v>
      </c>
      <c r="G230" s="3" t="str">
        <f t="shared" si="21"/>
        <v>Evening</v>
      </c>
      <c r="H230" s="3" t="b">
        <v>0</v>
      </c>
      <c r="I230" s="3" t="str">
        <f t="shared" si="19"/>
        <v>Working day</v>
      </c>
      <c r="J230" s="3">
        <v>1</v>
      </c>
      <c r="K230" s="3" t="str">
        <f t="shared" si="22"/>
        <v>Tuesday</v>
      </c>
      <c r="L230" s="3">
        <v>1</v>
      </c>
      <c r="M230" s="3" t="str">
        <f t="shared" si="23"/>
        <v>Nice weather</v>
      </c>
      <c r="N230" s="3">
        <v>0.16</v>
      </c>
      <c r="O230">
        <f t="shared" si="24"/>
        <v>16</v>
      </c>
    </row>
    <row r="231" spans="1:15" ht="13.2" x14ac:dyDescent="0.25">
      <c r="A231" s="3">
        <v>230</v>
      </c>
      <c r="B231" s="4">
        <v>40553</v>
      </c>
      <c r="C231" s="3">
        <v>1</v>
      </c>
      <c r="D231" s="3">
        <f t="shared" si="20"/>
        <v>2011</v>
      </c>
      <c r="E231" s="3">
        <v>1</v>
      </c>
      <c r="F231" s="3">
        <v>20</v>
      </c>
      <c r="G231" s="3" t="str">
        <f t="shared" si="21"/>
        <v>Evening</v>
      </c>
      <c r="H231" s="3" t="b">
        <v>0</v>
      </c>
      <c r="I231" s="3" t="str">
        <f t="shared" si="19"/>
        <v>Working day</v>
      </c>
      <c r="J231" s="3">
        <v>1</v>
      </c>
      <c r="K231" s="3" t="str">
        <f t="shared" si="22"/>
        <v>Tuesday</v>
      </c>
      <c r="L231" s="3">
        <v>1</v>
      </c>
      <c r="M231" s="3" t="str">
        <f t="shared" si="23"/>
        <v>Nice weather</v>
      </c>
      <c r="N231" s="3">
        <v>0.16</v>
      </c>
      <c r="O231">
        <f t="shared" si="24"/>
        <v>16</v>
      </c>
    </row>
    <row r="232" spans="1:15" ht="13.2" x14ac:dyDescent="0.25">
      <c r="A232" s="3">
        <v>231</v>
      </c>
      <c r="B232" s="4">
        <v>40553</v>
      </c>
      <c r="C232" s="3">
        <v>1</v>
      </c>
      <c r="D232" s="3">
        <f t="shared" si="20"/>
        <v>2011</v>
      </c>
      <c r="E232" s="3">
        <v>1</v>
      </c>
      <c r="F232" s="3">
        <v>21</v>
      </c>
      <c r="G232" s="3" t="str">
        <f t="shared" si="21"/>
        <v>Evening</v>
      </c>
      <c r="H232" s="3" t="b">
        <v>0</v>
      </c>
      <c r="I232" s="3" t="str">
        <f t="shared" si="19"/>
        <v>Working day</v>
      </c>
      <c r="J232" s="3">
        <v>1</v>
      </c>
      <c r="K232" s="3" t="str">
        <f t="shared" si="22"/>
        <v>Tuesday</v>
      </c>
      <c r="L232" s="3">
        <v>1</v>
      </c>
      <c r="M232" s="3" t="str">
        <f t="shared" si="23"/>
        <v>Nice weather</v>
      </c>
      <c r="N232" s="3">
        <v>0.14000000000000001</v>
      </c>
      <c r="O232">
        <f t="shared" si="24"/>
        <v>14.000000000000002</v>
      </c>
    </row>
    <row r="233" spans="1:15" ht="13.2" x14ac:dyDescent="0.25">
      <c r="A233" s="3">
        <v>232</v>
      </c>
      <c r="B233" s="4">
        <v>40553</v>
      </c>
      <c r="C233" s="3">
        <v>1</v>
      </c>
      <c r="D233" s="3">
        <f t="shared" si="20"/>
        <v>2011</v>
      </c>
      <c r="E233" s="3">
        <v>1</v>
      </c>
      <c r="F233" s="3">
        <v>22</v>
      </c>
      <c r="G233" s="3" t="str">
        <f t="shared" si="21"/>
        <v>Evening</v>
      </c>
      <c r="H233" s="3" t="b">
        <v>0</v>
      </c>
      <c r="I233" s="3" t="str">
        <f t="shared" si="19"/>
        <v>Working day</v>
      </c>
      <c r="J233" s="3">
        <v>1</v>
      </c>
      <c r="K233" s="3" t="str">
        <f t="shared" si="22"/>
        <v>Tuesday</v>
      </c>
      <c r="L233" s="3">
        <v>1</v>
      </c>
      <c r="M233" s="3" t="str">
        <f t="shared" si="23"/>
        <v>Nice weather</v>
      </c>
      <c r="N233" s="3">
        <v>0.14000000000000001</v>
      </c>
      <c r="O233">
        <f t="shared" si="24"/>
        <v>14.000000000000002</v>
      </c>
    </row>
    <row r="234" spans="1:15" ht="13.2" x14ac:dyDescent="0.25">
      <c r="A234" s="3">
        <v>233</v>
      </c>
      <c r="B234" s="4">
        <v>40553</v>
      </c>
      <c r="C234" s="3">
        <v>1</v>
      </c>
      <c r="D234" s="3">
        <f t="shared" si="20"/>
        <v>2011</v>
      </c>
      <c r="E234" s="3">
        <v>1</v>
      </c>
      <c r="F234" s="3">
        <v>23</v>
      </c>
      <c r="G234" s="3" t="str">
        <f t="shared" si="21"/>
        <v>Evening</v>
      </c>
      <c r="H234" s="3" t="b">
        <v>0</v>
      </c>
      <c r="I234" s="3" t="str">
        <f t="shared" si="19"/>
        <v>Working day</v>
      </c>
      <c r="J234" s="3">
        <v>1</v>
      </c>
      <c r="K234" s="3" t="str">
        <f t="shared" si="22"/>
        <v>Tuesday</v>
      </c>
      <c r="L234" s="3">
        <v>1</v>
      </c>
      <c r="M234" s="3" t="str">
        <f t="shared" si="23"/>
        <v>Nice weather</v>
      </c>
      <c r="N234" s="3">
        <v>0.14000000000000001</v>
      </c>
      <c r="O234">
        <f t="shared" si="24"/>
        <v>14.000000000000002</v>
      </c>
    </row>
    <row r="235" spans="1:15" ht="13.2" x14ac:dyDescent="0.25">
      <c r="A235" s="3">
        <v>234</v>
      </c>
      <c r="B235" s="4">
        <v>40554</v>
      </c>
      <c r="C235" s="3">
        <v>1</v>
      </c>
      <c r="D235" s="3">
        <f t="shared" si="20"/>
        <v>2011</v>
      </c>
      <c r="E235" s="3">
        <v>1</v>
      </c>
      <c r="F235" s="3">
        <v>0</v>
      </c>
      <c r="G235" s="3" t="str">
        <f t="shared" si="21"/>
        <v>Night</v>
      </c>
      <c r="H235" s="3" t="b">
        <v>0</v>
      </c>
      <c r="I235" s="3" t="str">
        <f t="shared" si="19"/>
        <v>Working day</v>
      </c>
      <c r="J235" s="3">
        <v>2</v>
      </c>
      <c r="K235" s="3" t="str">
        <f t="shared" si="22"/>
        <v>Wednesday</v>
      </c>
      <c r="L235" s="3">
        <v>1</v>
      </c>
      <c r="M235" s="3" t="str">
        <f t="shared" si="23"/>
        <v>Nice weather</v>
      </c>
      <c r="N235" s="3">
        <v>0.14000000000000001</v>
      </c>
      <c r="O235">
        <f t="shared" si="24"/>
        <v>14.000000000000002</v>
      </c>
    </row>
    <row r="236" spans="1:15" ht="13.2" x14ac:dyDescent="0.25">
      <c r="A236" s="3">
        <v>235</v>
      </c>
      <c r="B236" s="4">
        <v>40554</v>
      </c>
      <c r="C236" s="3">
        <v>1</v>
      </c>
      <c r="D236" s="3">
        <f t="shared" si="20"/>
        <v>2011</v>
      </c>
      <c r="E236" s="3">
        <v>1</v>
      </c>
      <c r="F236" s="3">
        <v>1</v>
      </c>
      <c r="G236" s="3" t="str">
        <f t="shared" si="21"/>
        <v>Night</v>
      </c>
      <c r="H236" s="3" t="b">
        <v>0</v>
      </c>
      <c r="I236" s="3" t="str">
        <f t="shared" si="19"/>
        <v>Working day</v>
      </c>
      <c r="J236" s="3">
        <v>2</v>
      </c>
      <c r="K236" s="3" t="str">
        <f t="shared" si="22"/>
        <v>Wednesday</v>
      </c>
      <c r="L236" s="3">
        <v>1</v>
      </c>
      <c r="M236" s="3" t="str">
        <f t="shared" si="23"/>
        <v>Nice weather</v>
      </c>
      <c r="N236" s="3">
        <v>0.14000000000000001</v>
      </c>
      <c r="O236">
        <f t="shared" si="24"/>
        <v>14.000000000000002</v>
      </c>
    </row>
    <row r="237" spans="1:15" ht="13.2" x14ac:dyDescent="0.25">
      <c r="A237" s="3">
        <v>236</v>
      </c>
      <c r="B237" s="4">
        <v>40554</v>
      </c>
      <c r="C237" s="3">
        <v>1</v>
      </c>
      <c r="D237" s="3">
        <f t="shared" si="20"/>
        <v>2011</v>
      </c>
      <c r="E237" s="3">
        <v>1</v>
      </c>
      <c r="F237" s="3">
        <v>2</v>
      </c>
      <c r="G237" s="3" t="str">
        <f t="shared" si="21"/>
        <v>Night</v>
      </c>
      <c r="H237" s="3" t="b">
        <v>0</v>
      </c>
      <c r="I237" s="3" t="str">
        <f t="shared" si="19"/>
        <v>Working day</v>
      </c>
      <c r="J237" s="3">
        <v>2</v>
      </c>
      <c r="K237" s="3" t="str">
        <f t="shared" si="22"/>
        <v>Wednesday</v>
      </c>
      <c r="L237" s="3">
        <v>2</v>
      </c>
      <c r="M237" s="3" t="str">
        <f t="shared" si="23"/>
        <v>Mild Cloudy</v>
      </c>
      <c r="N237" s="3">
        <v>0.16</v>
      </c>
      <c r="O237">
        <f t="shared" si="24"/>
        <v>16</v>
      </c>
    </row>
    <row r="238" spans="1:15" ht="13.2" x14ac:dyDescent="0.25">
      <c r="A238" s="3">
        <v>237</v>
      </c>
      <c r="B238" s="4">
        <v>40554</v>
      </c>
      <c r="C238" s="3">
        <v>1</v>
      </c>
      <c r="D238" s="3">
        <f t="shared" si="20"/>
        <v>2011</v>
      </c>
      <c r="E238" s="3">
        <v>1</v>
      </c>
      <c r="F238" s="3">
        <v>5</v>
      </c>
      <c r="G238" s="3" t="str">
        <f t="shared" si="21"/>
        <v>Night</v>
      </c>
      <c r="H238" s="3" t="b">
        <v>0</v>
      </c>
      <c r="I238" s="3" t="str">
        <f t="shared" si="19"/>
        <v>Working day</v>
      </c>
      <c r="J238" s="3">
        <v>2</v>
      </c>
      <c r="K238" s="3" t="str">
        <f t="shared" si="22"/>
        <v>Wednesday</v>
      </c>
      <c r="L238" s="3">
        <v>2</v>
      </c>
      <c r="M238" s="3" t="str">
        <f t="shared" si="23"/>
        <v>Mild Cloudy</v>
      </c>
      <c r="N238" s="3">
        <v>0.16</v>
      </c>
      <c r="O238">
        <f t="shared" si="24"/>
        <v>16</v>
      </c>
    </row>
    <row r="239" spans="1:15" ht="13.2" x14ac:dyDescent="0.25">
      <c r="A239" s="3">
        <v>238</v>
      </c>
      <c r="B239" s="4">
        <v>40554</v>
      </c>
      <c r="C239" s="3">
        <v>1</v>
      </c>
      <c r="D239" s="3">
        <f t="shared" si="20"/>
        <v>2011</v>
      </c>
      <c r="E239" s="3">
        <v>1</v>
      </c>
      <c r="F239" s="3">
        <v>6</v>
      </c>
      <c r="G239" s="3" t="str">
        <f t="shared" si="21"/>
        <v>Morning</v>
      </c>
      <c r="H239" s="3" t="b">
        <v>0</v>
      </c>
      <c r="I239" s="3" t="str">
        <f t="shared" si="19"/>
        <v>Working day</v>
      </c>
      <c r="J239" s="3">
        <v>2</v>
      </c>
      <c r="K239" s="3" t="str">
        <f t="shared" si="22"/>
        <v>Wednesday</v>
      </c>
      <c r="L239" s="3">
        <v>2</v>
      </c>
      <c r="M239" s="3" t="str">
        <f t="shared" si="23"/>
        <v>Mild Cloudy</v>
      </c>
      <c r="N239" s="3">
        <v>0.16</v>
      </c>
      <c r="O239">
        <f t="shared" si="24"/>
        <v>16</v>
      </c>
    </row>
    <row r="240" spans="1:15" ht="13.2" x14ac:dyDescent="0.25">
      <c r="A240" s="3">
        <v>239</v>
      </c>
      <c r="B240" s="4">
        <v>40554</v>
      </c>
      <c r="C240" s="3">
        <v>1</v>
      </c>
      <c r="D240" s="3">
        <f t="shared" si="20"/>
        <v>2011</v>
      </c>
      <c r="E240" s="3">
        <v>1</v>
      </c>
      <c r="F240" s="3">
        <v>7</v>
      </c>
      <c r="G240" s="3" t="str">
        <f t="shared" si="21"/>
        <v>Morning</v>
      </c>
      <c r="H240" s="3" t="b">
        <v>0</v>
      </c>
      <c r="I240" s="3" t="str">
        <f t="shared" si="19"/>
        <v>Working day</v>
      </c>
      <c r="J240" s="3">
        <v>2</v>
      </c>
      <c r="K240" s="3" t="str">
        <f t="shared" si="22"/>
        <v>Wednesday</v>
      </c>
      <c r="L240" s="3">
        <v>2</v>
      </c>
      <c r="M240" s="3" t="str">
        <f t="shared" si="23"/>
        <v>Mild Cloudy</v>
      </c>
      <c r="N240" s="3">
        <v>0.16</v>
      </c>
      <c r="O240">
        <f t="shared" si="24"/>
        <v>16</v>
      </c>
    </row>
    <row r="241" spans="1:15" ht="13.2" x14ac:dyDescent="0.25">
      <c r="A241" s="3">
        <v>240</v>
      </c>
      <c r="B241" s="4">
        <v>40554</v>
      </c>
      <c r="C241" s="3">
        <v>1</v>
      </c>
      <c r="D241" s="3">
        <f t="shared" si="20"/>
        <v>2011</v>
      </c>
      <c r="E241" s="3">
        <v>1</v>
      </c>
      <c r="F241" s="3">
        <v>8</v>
      </c>
      <c r="G241" s="3" t="str">
        <f t="shared" si="21"/>
        <v>Morning</v>
      </c>
      <c r="H241" s="3" t="b">
        <v>0</v>
      </c>
      <c r="I241" s="3" t="str">
        <f t="shared" si="19"/>
        <v>Working day</v>
      </c>
      <c r="J241" s="3">
        <v>2</v>
      </c>
      <c r="K241" s="3" t="str">
        <f t="shared" si="22"/>
        <v>Wednesday</v>
      </c>
      <c r="L241" s="3">
        <v>2</v>
      </c>
      <c r="M241" s="3" t="str">
        <f t="shared" si="23"/>
        <v>Mild Cloudy</v>
      </c>
      <c r="N241" s="3">
        <v>0.18</v>
      </c>
      <c r="O241">
        <f t="shared" si="24"/>
        <v>18</v>
      </c>
    </row>
    <row r="242" spans="1:15" ht="13.2" x14ac:dyDescent="0.25">
      <c r="A242" s="3">
        <v>241</v>
      </c>
      <c r="B242" s="4">
        <v>40554</v>
      </c>
      <c r="C242" s="3">
        <v>1</v>
      </c>
      <c r="D242" s="3">
        <f t="shared" si="20"/>
        <v>2011</v>
      </c>
      <c r="E242" s="3">
        <v>1</v>
      </c>
      <c r="F242" s="3">
        <v>9</v>
      </c>
      <c r="G242" s="3" t="str">
        <f t="shared" si="21"/>
        <v>Morning</v>
      </c>
      <c r="H242" s="3" t="b">
        <v>0</v>
      </c>
      <c r="I242" s="3" t="str">
        <f t="shared" si="19"/>
        <v>Working day</v>
      </c>
      <c r="J242" s="3">
        <v>2</v>
      </c>
      <c r="K242" s="3" t="str">
        <f t="shared" si="22"/>
        <v>Wednesday</v>
      </c>
      <c r="L242" s="3">
        <v>2</v>
      </c>
      <c r="M242" s="3" t="str">
        <f t="shared" si="23"/>
        <v>Mild Cloudy</v>
      </c>
      <c r="N242" s="3">
        <v>0.18</v>
      </c>
      <c r="O242">
        <f t="shared" si="24"/>
        <v>18</v>
      </c>
    </row>
    <row r="243" spans="1:15" ht="13.2" x14ac:dyDescent="0.25">
      <c r="A243" s="3">
        <v>242</v>
      </c>
      <c r="B243" s="4">
        <v>40554</v>
      </c>
      <c r="C243" s="3">
        <v>1</v>
      </c>
      <c r="D243" s="3">
        <f t="shared" si="20"/>
        <v>2011</v>
      </c>
      <c r="E243" s="3">
        <v>1</v>
      </c>
      <c r="F243" s="3">
        <v>10</v>
      </c>
      <c r="G243" s="3" t="str">
        <f t="shared" si="21"/>
        <v>Morning</v>
      </c>
      <c r="H243" s="3" t="b">
        <v>0</v>
      </c>
      <c r="I243" s="3" t="str">
        <f t="shared" si="19"/>
        <v>Working day</v>
      </c>
      <c r="J243" s="3">
        <v>2</v>
      </c>
      <c r="K243" s="3" t="str">
        <f t="shared" si="22"/>
        <v>Wednesday</v>
      </c>
      <c r="L243" s="3">
        <v>2</v>
      </c>
      <c r="M243" s="3" t="str">
        <f t="shared" si="23"/>
        <v>Mild Cloudy</v>
      </c>
      <c r="N243" s="3">
        <v>0.2</v>
      </c>
      <c r="O243">
        <f t="shared" si="24"/>
        <v>20</v>
      </c>
    </row>
    <row r="244" spans="1:15" ht="13.2" x14ac:dyDescent="0.25">
      <c r="A244" s="3">
        <v>243</v>
      </c>
      <c r="B244" s="4">
        <v>40554</v>
      </c>
      <c r="C244" s="3">
        <v>1</v>
      </c>
      <c r="D244" s="3">
        <f t="shared" si="20"/>
        <v>2011</v>
      </c>
      <c r="E244" s="3">
        <v>1</v>
      </c>
      <c r="F244" s="3">
        <v>11</v>
      </c>
      <c r="G244" s="3" t="str">
        <f t="shared" si="21"/>
        <v>Morning</v>
      </c>
      <c r="H244" s="3" t="b">
        <v>0</v>
      </c>
      <c r="I244" s="3" t="str">
        <f t="shared" si="19"/>
        <v>Working day</v>
      </c>
      <c r="J244" s="3">
        <v>2</v>
      </c>
      <c r="K244" s="3" t="str">
        <f t="shared" si="22"/>
        <v>Wednesday</v>
      </c>
      <c r="L244" s="3">
        <v>2</v>
      </c>
      <c r="M244" s="3" t="str">
        <f t="shared" si="23"/>
        <v>Mild Cloudy</v>
      </c>
      <c r="N244" s="3">
        <v>0.2</v>
      </c>
      <c r="O244">
        <f t="shared" si="24"/>
        <v>20</v>
      </c>
    </row>
    <row r="245" spans="1:15" ht="13.2" x14ac:dyDescent="0.25">
      <c r="A245" s="3">
        <v>244</v>
      </c>
      <c r="B245" s="4">
        <v>40554</v>
      </c>
      <c r="C245" s="3">
        <v>1</v>
      </c>
      <c r="D245" s="3">
        <f t="shared" si="20"/>
        <v>2011</v>
      </c>
      <c r="E245" s="3">
        <v>1</v>
      </c>
      <c r="F245" s="3">
        <v>12</v>
      </c>
      <c r="G245" s="3" t="str">
        <f t="shared" si="21"/>
        <v>Afternoon</v>
      </c>
      <c r="H245" s="3" t="b">
        <v>0</v>
      </c>
      <c r="I245" s="3" t="str">
        <f t="shared" si="19"/>
        <v>Working day</v>
      </c>
      <c r="J245" s="3">
        <v>2</v>
      </c>
      <c r="K245" s="3" t="str">
        <f t="shared" si="22"/>
        <v>Wednesday</v>
      </c>
      <c r="L245" s="3">
        <v>2</v>
      </c>
      <c r="M245" s="3" t="str">
        <f t="shared" si="23"/>
        <v>Mild Cloudy</v>
      </c>
      <c r="N245" s="3">
        <v>0.2</v>
      </c>
      <c r="O245">
        <f t="shared" si="24"/>
        <v>20</v>
      </c>
    </row>
    <row r="246" spans="1:15" ht="13.2" x14ac:dyDescent="0.25">
      <c r="A246" s="3">
        <v>245</v>
      </c>
      <c r="B246" s="4">
        <v>40554</v>
      </c>
      <c r="C246" s="3">
        <v>1</v>
      </c>
      <c r="D246" s="3">
        <f t="shared" si="20"/>
        <v>2011</v>
      </c>
      <c r="E246" s="3">
        <v>1</v>
      </c>
      <c r="F246" s="3">
        <v>13</v>
      </c>
      <c r="G246" s="3" t="str">
        <f t="shared" si="21"/>
        <v>Afternoon</v>
      </c>
      <c r="H246" s="3" t="b">
        <v>0</v>
      </c>
      <c r="I246" s="3" t="str">
        <f t="shared" si="19"/>
        <v>Working day</v>
      </c>
      <c r="J246" s="3">
        <v>2</v>
      </c>
      <c r="K246" s="3" t="str">
        <f t="shared" si="22"/>
        <v>Wednesday</v>
      </c>
      <c r="L246" s="3">
        <v>2</v>
      </c>
      <c r="M246" s="3" t="str">
        <f t="shared" si="23"/>
        <v>Mild Cloudy</v>
      </c>
      <c r="N246" s="3">
        <v>0.2</v>
      </c>
      <c r="O246">
        <f t="shared" si="24"/>
        <v>20</v>
      </c>
    </row>
    <row r="247" spans="1:15" ht="13.2" x14ac:dyDescent="0.25">
      <c r="A247" s="3">
        <v>246</v>
      </c>
      <c r="B247" s="4">
        <v>40554</v>
      </c>
      <c r="C247" s="3">
        <v>1</v>
      </c>
      <c r="D247" s="3">
        <f t="shared" si="20"/>
        <v>2011</v>
      </c>
      <c r="E247" s="3">
        <v>1</v>
      </c>
      <c r="F247" s="3">
        <v>14</v>
      </c>
      <c r="G247" s="3" t="str">
        <f t="shared" si="21"/>
        <v>Afternoon</v>
      </c>
      <c r="H247" s="3" t="b">
        <v>0</v>
      </c>
      <c r="I247" s="3" t="str">
        <f t="shared" si="19"/>
        <v>Working day</v>
      </c>
      <c r="J247" s="3">
        <v>2</v>
      </c>
      <c r="K247" s="3" t="str">
        <f t="shared" si="22"/>
        <v>Wednesday</v>
      </c>
      <c r="L247" s="3">
        <v>2</v>
      </c>
      <c r="M247" s="3" t="str">
        <f t="shared" si="23"/>
        <v>Mild Cloudy</v>
      </c>
      <c r="N247" s="3">
        <v>0.2</v>
      </c>
      <c r="O247">
        <f t="shared" si="24"/>
        <v>20</v>
      </c>
    </row>
    <row r="248" spans="1:15" ht="13.2" x14ac:dyDescent="0.25">
      <c r="A248" s="3">
        <v>247</v>
      </c>
      <c r="B248" s="4">
        <v>40554</v>
      </c>
      <c r="C248" s="3">
        <v>1</v>
      </c>
      <c r="D248" s="3">
        <f t="shared" si="20"/>
        <v>2011</v>
      </c>
      <c r="E248" s="3">
        <v>1</v>
      </c>
      <c r="F248" s="3">
        <v>15</v>
      </c>
      <c r="G248" s="3" t="str">
        <f t="shared" si="21"/>
        <v>Afternoon</v>
      </c>
      <c r="H248" s="3" t="b">
        <v>0</v>
      </c>
      <c r="I248" s="3" t="str">
        <f t="shared" si="19"/>
        <v>Working day</v>
      </c>
      <c r="J248" s="3">
        <v>2</v>
      </c>
      <c r="K248" s="3" t="str">
        <f t="shared" si="22"/>
        <v>Wednesday</v>
      </c>
      <c r="L248" s="3">
        <v>2</v>
      </c>
      <c r="M248" s="3" t="str">
        <f t="shared" si="23"/>
        <v>Mild Cloudy</v>
      </c>
      <c r="N248" s="3">
        <v>0.16</v>
      </c>
      <c r="O248">
        <f t="shared" si="24"/>
        <v>16</v>
      </c>
    </row>
    <row r="249" spans="1:15" ht="13.2" x14ac:dyDescent="0.25">
      <c r="A249" s="3">
        <v>248</v>
      </c>
      <c r="B249" s="4">
        <v>40554</v>
      </c>
      <c r="C249" s="3">
        <v>1</v>
      </c>
      <c r="D249" s="3">
        <f t="shared" si="20"/>
        <v>2011</v>
      </c>
      <c r="E249" s="3">
        <v>1</v>
      </c>
      <c r="F249" s="3">
        <v>16</v>
      </c>
      <c r="G249" s="3" t="str">
        <f t="shared" si="21"/>
        <v>Afternoon</v>
      </c>
      <c r="H249" s="3" t="b">
        <v>0</v>
      </c>
      <c r="I249" s="3" t="str">
        <f t="shared" si="19"/>
        <v>Working day</v>
      </c>
      <c r="J249" s="3">
        <v>2</v>
      </c>
      <c r="K249" s="3" t="str">
        <f t="shared" si="22"/>
        <v>Wednesday</v>
      </c>
      <c r="L249" s="3">
        <v>2</v>
      </c>
      <c r="M249" s="3" t="str">
        <f t="shared" si="23"/>
        <v>Mild Cloudy</v>
      </c>
      <c r="N249" s="3">
        <v>0.16</v>
      </c>
      <c r="O249">
        <f t="shared" si="24"/>
        <v>16</v>
      </c>
    </row>
    <row r="250" spans="1:15" ht="13.2" x14ac:dyDescent="0.25">
      <c r="A250" s="3">
        <v>249</v>
      </c>
      <c r="B250" s="4">
        <v>40554</v>
      </c>
      <c r="C250" s="3">
        <v>1</v>
      </c>
      <c r="D250" s="3">
        <f t="shared" si="20"/>
        <v>2011</v>
      </c>
      <c r="E250" s="3">
        <v>1</v>
      </c>
      <c r="F250" s="3">
        <v>17</v>
      </c>
      <c r="G250" s="3" t="str">
        <f t="shared" si="21"/>
        <v>Afternoon</v>
      </c>
      <c r="H250" s="3" t="b">
        <v>0</v>
      </c>
      <c r="I250" s="3" t="str">
        <f t="shared" si="19"/>
        <v>Working day</v>
      </c>
      <c r="J250" s="3">
        <v>2</v>
      </c>
      <c r="K250" s="3" t="str">
        <f t="shared" si="22"/>
        <v>Wednesday</v>
      </c>
      <c r="L250" s="3">
        <v>2</v>
      </c>
      <c r="M250" s="3" t="str">
        <f t="shared" si="23"/>
        <v>Mild Cloudy</v>
      </c>
      <c r="N250" s="3">
        <v>0.16</v>
      </c>
      <c r="O250">
        <f t="shared" si="24"/>
        <v>16</v>
      </c>
    </row>
    <row r="251" spans="1:15" ht="13.2" x14ac:dyDescent="0.25">
      <c r="A251" s="3">
        <v>250</v>
      </c>
      <c r="B251" s="4">
        <v>40554</v>
      </c>
      <c r="C251" s="3">
        <v>1</v>
      </c>
      <c r="D251" s="3">
        <f t="shared" si="20"/>
        <v>2011</v>
      </c>
      <c r="E251" s="3">
        <v>1</v>
      </c>
      <c r="F251" s="3">
        <v>18</v>
      </c>
      <c r="G251" s="3" t="str">
        <f t="shared" si="21"/>
        <v>Evening</v>
      </c>
      <c r="H251" s="3" t="b">
        <v>0</v>
      </c>
      <c r="I251" s="3" t="str">
        <f t="shared" si="19"/>
        <v>Working day</v>
      </c>
      <c r="J251" s="3">
        <v>2</v>
      </c>
      <c r="K251" s="3" t="str">
        <f t="shared" si="22"/>
        <v>Wednesday</v>
      </c>
      <c r="L251" s="3">
        <v>3</v>
      </c>
      <c r="M251" s="3" t="str">
        <f t="shared" si="23"/>
        <v>Dark Cloudy</v>
      </c>
      <c r="N251" s="3">
        <v>0.16</v>
      </c>
      <c r="O251">
        <f t="shared" si="24"/>
        <v>16</v>
      </c>
    </row>
    <row r="252" spans="1:15" ht="13.2" x14ac:dyDescent="0.25">
      <c r="A252" s="3">
        <v>251</v>
      </c>
      <c r="B252" s="4">
        <v>40554</v>
      </c>
      <c r="C252" s="3">
        <v>1</v>
      </c>
      <c r="D252" s="3">
        <f t="shared" si="20"/>
        <v>2011</v>
      </c>
      <c r="E252" s="3">
        <v>1</v>
      </c>
      <c r="F252" s="3">
        <v>19</v>
      </c>
      <c r="G252" s="3" t="str">
        <f t="shared" si="21"/>
        <v>Evening</v>
      </c>
      <c r="H252" s="3" t="b">
        <v>0</v>
      </c>
      <c r="I252" s="3" t="str">
        <f t="shared" si="19"/>
        <v>Working day</v>
      </c>
      <c r="J252" s="3">
        <v>2</v>
      </c>
      <c r="K252" s="3" t="str">
        <f t="shared" si="22"/>
        <v>Wednesday</v>
      </c>
      <c r="L252" s="3">
        <v>3</v>
      </c>
      <c r="M252" s="3" t="str">
        <f t="shared" si="23"/>
        <v>Dark Cloudy</v>
      </c>
      <c r="N252" s="3">
        <v>0.16</v>
      </c>
      <c r="O252">
        <f t="shared" si="24"/>
        <v>16</v>
      </c>
    </row>
    <row r="253" spans="1:15" ht="13.2" x14ac:dyDescent="0.25">
      <c r="A253" s="3">
        <v>252</v>
      </c>
      <c r="B253" s="4">
        <v>40554</v>
      </c>
      <c r="C253" s="3">
        <v>1</v>
      </c>
      <c r="D253" s="3">
        <f t="shared" si="20"/>
        <v>2011</v>
      </c>
      <c r="E253" s="3">
        <v>1</v>
      </c>
      <c r="F253" s="3">
        <v>20</v>
      </c>
      <c r="G253" s="3" t="str">
        <f t="shared" si="21"/>
        <v>Evening</v>
      </c>
      <c r="H253" s="3" t="b">
        <v>0</v>
      </c>
      <c r="I253" s="3" t="str">
        <f t="shared" si="19"/>
        <v>Working day</v>
      </c>
      <c r="J253" s="3">
        <v>2</v>
      </c>
      <c r="K253" s="3" t="str">
        <f t="shared" si="22"/>
        <v>Wednesday</v>
      </c>
      <c r="L253" s="3">
        <v>3</v>
      </c>
      <c r="M253" s="3" t="str">
        <f t="shared" si="23"/>
        <v>Dark Cloudy</v>
      </c>
      <c r="N253" s="3">
        <v>0.16</v>
      </c>
      <c r="O253">
        <f t="shared" si="24"/>
        <v>16</v>
      </c>
    </row>
    <row r="254" spans="1:15" ht="13.2" x14ac:dyDescent="0.25">
      <c r="A254" s="3">
        <v>253</v>
      </c>
      <c r="B254" s="4">
        <v>40554</v>
      </c>
      <c r="C254" s="3">
        <v>1</v>
      </c>
      <c r="D254" s="3">
        <f t="shared" si="20"/>
        <v>2011</v>
      </c>
      <c r="E254" s="3">
        <v>1</v>
      </c>
      <c r="F254" s="3">
        <v>21</v>
      </c>
      <c r="G254" s="3" t="str">
        <f t="shared" si="21"/>
        <v>Evening</v>
      </c>
      <c r="H254" s="3" t="b">
        <v>0</v>
      </c>
      <c r="I254" s="3" t="str">
        <f t="shared" si="19"/>
        <v>Working day</v>
      </c>
      <c r="J254" s="3">
        <v>2</v>
      </c>
      <c r="K254" s="3" t="str">
        <f t="shared" si="22"/>
        <v>Wednesday</v>
      </c>
      <c r="L254" s="3">
        <v>3</v>
      </c>
      <c r="M254" s="3" t="str">
        <f t="shared" si="23"/>
        <v>Dark Cloudy</v>
      </c>
      <c r="N254" s="3">
        <v>0.16</v>
      </c>
      <c r="O254">
        <f t="shared" si="24"/>
        <v>16</v>
      </c>
    </row>
    <row r="255" spans="1:15" ht="13.2" x14ac:dyDescent="0.25">
      <c r="A255" s="3">
        <v>254</v>
      </c>
      <c r="B255" s="4">
        <v>40554</v>
      </c>
      <c r="C255" s="3">
        <v>1</v>
      </c>
      <c r="D255" s="3">
        <f t="shared" si="20"/>
        <v>2011</v>
      </c>
      <c r="E255" s="3">
        <v>1</v>
      </c>
      <c r="F255" s="3">
        <v>22</v>
      </c>
      <c r="G255" s="3" t="str">
        <f t="shared" si="21"/>
        <v>Evening</v>
      </c>
      <c r="H255" s="3" t="b">
        <v>0</v>
      </c>
      <c r="I255" s="3" t="str">
        <f t="shared" si="19"/>
        <v>Working day</v>
      </c>
      <c r="J255" s="3">
        <v>2</v>
      </c>
      <c r="K255" s="3" t="str">
        <f t="shared" si="22"/>
        <v>Wednesday</v>
      </c>
      <c r="L255" s="3">
        <v>3</v>
      </c>
      <c r="M255" s="3" t="str">
        <f t="shared" si="23"/>
        <v>Dark Cloudy</v>
      </c>
      <c r="N255" s="3">
        <v>0.16</v>
      </c>
      <c r="O255">
        <f t="shared" si="24"/>
        <v>16</v>
      </c>
    </row>
    <row r="256" spans="1:15" ht="13.2" x14ac:dyDescent="0.25">
      <c r="A256" s="3">
        <v>255</v>
      </c>
      <c r="B256" s="4">
        <v>40554</v>
      </c>
      <c r="C256" s="3">
        <v>1</v>
      </c>
      <c r="D256" s="3">
        <f t="shared" si="20"/>
        <v>2011</v>
      </c>
      <c r="E256" s="3">
        <v>1</v>
      </c>
      <c r="F256" s="3">
        <v>23</v>
      </c>
      <c r="G256" s="3" t="str">
        <f t="shared" si="21"/>
        <v>Evening</v>
      </c>
      <c r="H256" s="3" t="b">
        <v>0</v>
      </c>
      <c r="I256" s="3" t="str">
        <f t="shared" si="19"/>
        <v>Working day</v>
      </c>
      <c r="J256" s="3">
        <v>2</v>
      </c>
      <c r="K256" s="3" t="str">
        <f t="shared" si="22"/>
        <v>Wednesday</v>
      </c>
      <c r="L256" s="3">
        <v>3</v>
      </c>
      <c r="M256" s="3" t="str">
        <f t="shared" si="23"/>
        <v>Dark Cloudy</v>
      </c>
      <c r="N256" s="3">
        <v>0.16</v>
      </c>
      <c r="O256">
        <f t="shared" si="24"/>
        <v>16</v>
      </c>
    </row>
    <row r="257" spans="1:15" ht="13.2" x14ac:dyDescent="0.25">
      <c r="A257" s="3">
        <v>256</v>
      </c>
      <c r="B257" s="4">
        <v>40555</v>
      </c>
      <c r="C257" s="3">
        <v>1</v>
      </c>
      <c r="D257" s="3">
        <f t="shared" si="20"/>
        <v>2011</v>
      </c>
      <c r="E257" s="3">
        <v>1</v>
      </c>
      <c r="F257" s="3">
        <v>0</v>
      </c>
      <c r="G257" s="3" t="str">
        <f t="shared" si="21"/>
        <v>Night</v>
      </c>
      <c r="H257" s="3" t="b">
        <v>0</v>
      </c>
      <c r="I257" s="3" t="str">
        <f t="shared" si="19"/>
        <v>Working day</v>
      </c>
      <c r="J257" s="3">
        <v>3</v>
      </c>
      <c r="K257" s="3" t="str">
        <f t="shared" si="22"/>
        <v>Thursday</v>
      </c>
      <c r="L257" s="3">
        <v>2</v>
      </c>
      <c r="M257" s="3" t="str">
        <f t="shared" si="23"/>
        <v>Mild Cloudy</v>
      </c>
      <c r="N257" s="3">
        <v>0.16</v>
      </c>
      <c r="O257">
        <f t="shared" si="24"/>
        <v>16</v>
      </c>
    </row>
    <row r="258" spans="1:15" ht="13.2" x14ac:dyDescent="0.25">
      <c r="A258" s="3">
        <v>257</v>
      </c>
      <c r="B258" s="4">
        <v>40555</v>
      </c>
      <c r="C258" s="3">
        <v>1</v>
      </c>
      <c r="D258" s="3">
        <f t="shared" si="20"/>
        <v>2011</v>
      </c>
      <c r="E258" s="3">
        <v>1</v>
      </c>
      <c r="F258" s="3">
        <v>1</v>
      </c>
      <c r="G258" s="3" t="str">
        <f t="shared" si="21"/>
        <v>Night</v>
      </c>
      <c r="H258" s="3" t="b">
        <v>0</v>
      </c>
      <c r="I258" s="3" t="str">
        <f t="shared" ref="I258:I321" si="25">IF(H258=TRUE,"Holiday","Working day")</f>
        <v>Working day</v>
      </c>
      <c r="J258" s="3">
        <v>3</v>
      </c>
      <c r="K258" s="3" t="str">
        <f t="shared" si="22"/>
        <v>Thursday</v>
      </c>
      <c r="L258" s="3">
        <v>2</v>
      </c>
      <c r="M258" s="3" t="str">
        <f t="shared" si="23"/>
        <v>Mild Cloudy</v>
      </c>
      <c r="N258" s="3">
        <v>0.16</v>
      </c>
      <c r="O258">
        <f t="shared" si="24"/>
        <v>16</v>
      </c>
    </row>
    <row r="259" spans="1:15" ht="13.2" x14ac:dyDescent="0.25">
      <c r="A259" s="3">
        <v>258</v>
      </c>
      <c r="B259" s="4">
        <v>40555</v>
      </c>
      <c r="C259" s="3">
        <v>1</v>
      </c>
      <c r="D259" s="3">
        <f t="shared" ref="D259:D322" si="26">YEAR(B259)</f>
        <v>2011</v>
      </c>
      <c r="E259" s="3">
        <v>1</v>
      </c>
      <c r="F259" s="3">
        <v>2</v>
      </c>
      <c r="G259" s="3" t="str">
        <f t="shared" ref="G259:G322" si="27">IF(AND(F259&gt;=0,F259&lt;6),"Night",IF(AND(F259&gt;=6,F259&lt;12),"Morning",IF(AND(F259&lt;18),"Afternoon","Evening")))</f>
        <v>Night</v>
      </c>
      <c r="H259" s="3" t="b">
        <v>0</v>
      </c>
      <c r="I259" s="3" t="str">
        <f t="shared" si="25"/>
        <v>Working day</v>
      </c>
      <c r="J259" s="3">
        <v>3</v>
      </c>
      <c r="K259" s="3" t="str">
        <f t="shared" ref="K259:K322" si="28">CHOOSE(J259+1,"Monday","Tuesday","Wednesday","Thursday","Friday","Saturday","Sunday")</f>
        <v>Thursday</v>
      </c>
      <c r="L259" s="3">
        <v>1</v>
      </c>
      <c r="M259" s="3" t="str">
        <f t="shared" ref="M259:M322" si="29">IF(L259=1,"Nice weather", IF(L259=2,"Mild Cloudy", IF(L259=3,"Dark Cloudy", IF(L259=4,"Thunderstrome","unknown"))))</f>
        <v>Nice weather</v>
      </c>
      <c r="N259" s="3">
        <v>0.14000000000000001</v>
      </c>
      <c r="O259">
        <f t="shared" ref="O259:O322" si="30">N259*100</f>
        <v>14.000000000000002</v>
      </c>
    </row>
    <row r="260" spans="1:15" ht="13.2" x14ac:dyDescent="0.25">
      <c r="A260" s="3">
        <v>259</v>
      </c>
      <c r="B260" s="4">
        <v>40555</v>
      </c>
      <c r="C260" s="3">
        <v>1</v>
      </c>
      <c r="D260" s="3">
        <f t="shared" si="26"/>
        <v>2011</v>
      </c>
      <c r="E260" s="3">
        <v>1</v>
      </c>
      <c r="F260" s="3">
        <v>5</v>
      </c>
      <c r="G260" s="3" t="str">
        <f t="shared" si="27"/>
        <v>Night</v>
      </c>
      <c r="H260" s="3" t="b">
        <v>0</v>
      </c>
      <c r="I260" s="3" t="str">
        <f t="shared" si="25"/>
        <v>Working day</v>
      </c>
      <c r="J260" s="3">
        <v>3</v>
      </c>
      <c r="K260" s="3" t="str">
        <f t="shared" si="28"/>
        <v>Thursday</v>
      </c>
      <c r="L260" s="3">
        <v>1</v>
      </c>
      <c r="M260" s="3" t="str">
        <f t="shared" si="29"/>
        <v>Nice weather</v>
      </c>
      <c r="N260" s="3">
        <v>0.14000000000000001</v>
      </c>
      <c r="O260">
        <f t="shared" si="30"/>
        <v>14.000000000000002</v>
      </c>
    </row>
    <row r="261" spans="1:15" ht="13.2" x14ac:dyDescent="0.25">
      <c r="A261" s="3">
        <v>260</v>
      </c>
      <c r="B261" s="4">
        <v>40555</v>
      </c>
      <c r="C261" s="3">
        <v>1</v>
      </c>
      <c r="D261" s="3">
        <f t="shared" si="26"/>
        <v>2011</v>
      </c>
      <c r="E261" s="3">
        <v>1</v>
      </c>
      <c r="F261" s="3">
        <v>6</v>
      </c>
      <c r="G261" s="3" t="str">
        <f t="shared" si="27"/>
        <v>Morning</v>
      </c>
      <c r="H261" s="3" t="b">
        <v>0</v>
      </c>
      <c r="I261" s="3" t="str">
        <f t="shared" si="25"/>
        <v>Working day</v>
      </c>
      <c r="J261" s="3">
        <v>3</v>
      </c>
      <c r="K261" s="3" t="str">
        <f t="shared" si="28"/>
        <v>Thursday</v>
      </c>
      <c r="L261" s="3">
        <v>1</v>
      </c>
      <c r="M261" s="3" t="str">
        <f t="shared" si="29"/>
        <v>Nice weather</v>
      </c>
      <c r="N261" s="3">
        <v>0.12</v>
      </c>
      <c r="O261">
        <f t="shared" si="30"/>
        <v>12</v>
      </c>
    </row>
    <row r="262" spans="1:15" ht="13.2" x14ac:dyDescent="0.25">
      <c r="A262" s="3">
        <v>261</v>
      </c>
      <c r="B262" s="4">
        <v>40555</v>
      </c>
      <c r="C262" s="3">
        <v>1</v>
      </c>
      <c r="D262" s="3">
        <f t="shared" si="26"/>
        <v>2011</v>
      </c>
      <c r="E262" s="3">
        <v>1</v>
      </c>
      <c r="F262" s="3">
        <v>7</v>
      </c>
      <c r="G262" s="3" t="str">
        <f t="shared" si="27"/>
        <v>Morning</v>
      </c>
      <c r="H262" s="3" t="b">
        <v>0</v>
      </c>
      <c r="I262" s="3" t="str">
        <f t="shared" si="25"/>
        <v>Working day</v>
      </c>
      <c r="J262" s="3">
        <v>3</v>
      </c>
      <c r="K262" s="3" t="str">
        <f t="shared" si="28"/>
        <v>Thursday</v>
      </c>
      <c r="L262" s="3">
        <v>1</v>
      </c>
      <c r="M262" s="3" t="str">
        <f t="shared" si="29"/>
        <v>Nice weather</v>
      </c>
      <c r="N262" s="3">
        <v>0.14000000000000001</v>
      </c>
      <c r="O262">
        <f t="shared" si="30"/>
        <v>14.000000000000002</v>
      </c>
    </row>
    <row r="263" spans="1:15" ht="13.2" x14ac:dyDescent="0.25">
      <c r="A263" s="3">
        <v>262</v>
      </c>
      <c r="B263" s="4">
        <v>40555</v>
      </c>
      <c r="C263" s="3">
        <v>1</v>
      </c>
      <c r="D263" s="3">
        <f t="shared" si="26"/>
        <v>2011</v>
      </c>
      <c r="E263" s="3">
        <v>1</v>
      </c>
      <c r="F263" s="3">
        <v>8</v>
      </c>
      <c r="G263" s="3" t="str">
        <f t="shared" si="27"/>
        <v>Morning</v>
      </c>
      <c r="H263" s="3" t="b">
        <v>0</v>
      </c>
      <c r="I263" s="3" t="str">
        <f t="shared" si="25"/>
        <v>Working day</v>
      </c>
      <c r="J263" s="3">
        <v>3</v>
      </c>
      <c r="K263" s="3" t="str">
        <f t="shared" si="28"/>
        <v>Thursday</v>
      </c>
      <c r="L263" s="3">
        <v>1</v>
      </c>
      <c r="M263" s="3" t="str">
        <f t="shared" si="29"/>
        <v>Nice weather</v>
      </c>
      <c r="N263" s="3">
        <v>0.16</v>
      </c>
      <c r="O263">
        <f t="shared" si="30"/>
        <v>16</v>
      </c>
    </row>
    <row r="264" spans="1:15" ht="13.2" x14ac:dyDescent="0.25">
      <c r="A264" s="3">
        <v>263</v>
      </c>
      <c r="B264" s="4">
        <v>40555</v>
      </c>
      <c r="C264" s="3">
        <v>1</v>
      </c>
      <c r="D264" s="3">
        <f t="shared" si="26"/>
        <v>2011</v>
      </c>
      <c r="E264" s="3">
        <v>1</v>
      </c>
      <c r="F264" s="3">
        <v>9</v>
      </c>
      <c r="G264" s="3" t="str">
        <f t="shared" si="27"/>
        <v>Morning</v>
      </c>
      <c r="H264" s="3" t="b">
        <v>0</v>
      </c>
      <c r="I264" s="3" t="str">
        <f t="shared" si="25"/>
        <v>Working day</v>
      </c>
      <c r="J264" s="3">
        <v>3</v>
      </c>
      <c r="K264" s="3" t="str">
        <f t="shared" si="28"/>
        <v>Thursday</v>
      </c>
      <c r="L264" s="3">
        <v>1</v>
      </c>
      <c r="M264" s="3" t="str">
        <f t="shared" si="29"/>
        <v>Nice weather</v>
      </c>
      <c r="N264" s="3">
        <v>0.16</v>
      </c>
      <c r="O264">
        <f t="shared" si="30"/>
        <v>16</v>
      </c>
    </row>
    <row r="265" spans="1:15" ht="13.2" x14ac:dyDescent="0.25">
      <c r="A265" s="3">
        <v>264</v>
      </c>
      <c r="B265" s="4">
        <v>40555</v>
      </c>
      <c r="C265" s="3">
        <v>1</v>
      </c>
      <c r="D265" s="3">
        <f t="shared" si="26"/>
        <v>2011</v>
      </c>
      <c r="E265" s="3">
        <v>1</v>
      </c>
      <c r="F265" s="3">
        <v>10</v>
      </c>
      <c r="G265" s="3" t="str">
        <f t="shared" si="27"/>
        <v>Morning</v>
      </c>
      <c r="H265" s="3" t="b">
        <v>0</v>
      </c>
      <c r="I265" s="3" t="str">
        <f t="shared" si="25"/>
        <v>Working day</v>
      </c>
      <c r="J265" s="3">
        <v>3</v>
      </c>
      <c r="K265" s="3" t="str">
        <f t="shared" si="28"/>
        <v>Thursday</v>
      </c>
      <c r="L265" s="3">
        <v>1</v>
      </c>
      <c r="M265" s="3" t="str">
        <f t="shared" si="29"/>
        <v>Nice weather</v>
      </c>
      <c r="N265" s="3">
        <v>0.18</v>
      </c>
      <c r="O265">
        <f t="shared" si="30"/>
        <v>18</v>
      </c>
    </row>
    <row r="266" spans="1:15" ht="13.2" x14ac:dyDescent="0.25">
      <c r="A266" s="3">
        <v>265</v>
      </c>
      <c r="B266" s="4">
        <v>40555</v>
      </c>
      <c r="C266" s="3">
        <v>1</v>
      </c>
      <c r="D266" s="3">
        <f t="shared" si="26"/>
        <v>2011</v>
      </c>
      <c r="E266" s="3">
        <v>1</v>
      </c>
      <c r="F266" s="3">
        <v>11</v>
      </c>
      <c r="G266" s="3" t="str">
        <f t="shared" si="27"/>
        <v>Morning</v>
      </c>
      <c r="H266" s="3" t="b">
        <v>0</v>
      </c>
      <c r="I266" s="3" t="str">
        <f t="shared" si="25"/>
        <v>Working day</v>
      </c>
      <c r="J266" s="3">
        <v>3</v>
      </c>
      <c r="K266" s="3" t="str">
        <f t="shared" si="28"/>
        <v>Thursday</v>
      </c>
      <c r="L266" s="3">
        <v>1</v>
      </c>
      <c r="M266" s="3" t="str">
        <f t="shared" si="29"/>
        <v>Nice weather</v>
      </c>
      <c r="N266" s="3">
        <v>0.2</v>
      </c>
      <c r="O266">
        <f t="shared" si="30"/>
        <v>20</v>
      </c>
    </row>
    <row r="267" spans="1:15" ht="13.2" x14ac:dyDescent="0.25">
      <c r="A267" s="3">
        <v>266</v>
      </c>
      <c r="B267" s="4">
        <v>40555</v>
      </c>
      <c r="C267" s="3">
        <v>1</v>
      </c>
      <c r="D267" s="3">
        <f t="shared" si="26"/>
        <v>2011</v>
      </c>
      <c r="E267" s="3">
        <v>1</v>
      </c>
      <c r="F267" s="3">
        <v>12</v>
      </c>
      <c r="G267" s="3" t="str">
        <f t="shared" si="27"/>
        <v>Afternoon</v>
      </c>
      <c r="H267" s="3" t="b">
        <v>0</v>
      </c>
      <c r="I267" s="3" t="str">
        <f t="shared" si="25"/>
        <v>Working day</v>
      </c>
      <c r="J267" s="3">
        <v>3</v>
      </c>
      <c r="K267" s="3" t="str">
        <f t="shared" si="28"/>
        <v>Thursday</v>
      </c>
      <c r="L267" s="3">
        <v>1</v>
      </c>
      <c r="M267" s="3" t="str">
        <f t="shared" si="29"/>
        <v>Nice weather</v>
      </c>
      <c r="N267" s="3">
        <v>0.2</v>
      </c>
      <c r="O267">
        <f t="shared" si="30"/>
        <v>20</v>
      </c>
    </row>
    <row r="268" spans="1:15" ht="13.2" x14ac:dyDescent="0.25">
      <c r="A268" s="3">
        <v>267</v>
      </c>
      <c r="B268" s="4">
        <v>40555</v>
      </c>
      <c r="C268" s="3">
        <v>1</v>
      </c>
      <c r="D268" s="3">
        <f t="shared" si="26"/>
        <v>2011</v>
      </c>
      <c r="E268" s="3">
        <v>1</v>
      </c>
      <c r="F268" s="3">
        <v>13</v>
      </c>
      <c r="G268" s="3" t="str">
        <f t="shared" si="27"/>
        <v>Afternoon</v>
      </c>
      <c r="H268" s="3" t="b">
        <v>0</v>
      </c>
      <c r="I268" s="3" t="str">
        <f t="shared" si="25"/>
        <v>Working day</v>
      </c>
      <c r="J268" s="3">
        <v>3</v>
      </c>
      <c r="K268" s="3" t="str">
        <f t="shared" si="28"/>
        <v>Thursday</v>
      </c>
      <c r="L268" s="3">
        <v>1</v>
      </c>
      <c r="M268" s="3" t="str">
        <f t="shared" si="29"/>
        <v>Nice weather</v>
      </c>
      <c r="N268" s="3">
        <v>0.22</v>
      </c>
      <c r="O268">
        <f t="shared" si="30"/>
        <v>22</v>
      </c>
    </row>
    <row r="269" spans="1:15" ht="13.2" x14ac:dyDescent="0.25">
      <c r="A269" s="3">
        <v>268</v>
      </c>
      <c r="B269" s="4">
        <v>40555</v>
      </c>
      <c r="C269" s="3">
        <v>1</v>
      </c>
      <c r="D269" s="3">
        <f t="shared" si="26"/>
        <v>2011</v>
      </c>
      <c r="E269" s="3">
        <v>1</v>
      </c>
      <c r="F269" s="3">
        <v>14</v>
      </c>
      <c r="G269" s="3" t="str">
        <f t="shared" si="27"/>
        <v>Afternoon</v>
      </c>
      <c r="H269" s="3" t="b">
        <v>0</v>
      </c>
      <c r="I269" s="3" t="str">
        <f t="shared" si="25"/>
        <v>Working day</v>
      </c>
      <c r="J269" s="3">
        <v>3</v>
      </c>
      <c r="K269" s="3" t="str">
        <f t="shared" si="28"/>
        <v>Thursday</v>
      </c>
      <c r="L269" s="3">
        <v>1</v>
      </c>
      <c r="M269" s="3" t="str">
        <f t="shared" si="29"/>
        <v>Nice weather</v>
      </c>
      <c r="N269" s="3">
        <v>0.2</v>
      </c>
      <c r="O269">
        <f t="shared" si="30"/>
        <v>20</v>
      </c>
    </row>
    <row r="270" spans="1:15" ht="13.2" x14ac:dyDescent="0.25">
      <c r="A270" s="3">
        <v>269</v>
      </c>
      <c r="B270" s="4">
        <v>40555</v>
      </c>
      <c r="C270" s="3">
        <v>1</v>
      </c>
      <c r="D270" s="3">
        <f t="shared" si="26"/>
        <v>2011</v>
      </c>
      <c r="E270" s="3">
        <v>1</v>
      </c>
      <c r="F270" s="3">
        <v>15</v>
      </c>
      <c r="G270" s="3" t="str">
        <f t="shared" si="27"/>
        <v>Afternoon</v>
      </c>
      <c r="H270" s="3" t="b">
        <v>0</v>
      </c>
      <c r="I270" s="3" t="str">
        <f t="shared" si="25"/>
        <v>Working day</v>
      </c>
      <c r="J270" s="3">
        <v>3</v>
      </c>
      <c r="K270" s="3" t="str">
        <f t="shared" si="28"/>
        <v>Thursday</v>
      </c>
      <c r="L270" s="3">
        <v>1</v>
      </c>
      <c r="M270" s="3" t="str">
        <f t="shared" si="29"/>
        <v>Nice weather</v>
      </c>
      <c r="N270" s="3">
        <v>0.2</v>
      </c>
      <c r="O270">
        <f t="shared" si="30"/>
        <v>20</v>
      </c>
    </row>
    <row r="271" spans="1:15" ht="13.2" x14ac:dyDescent="0.25">
      <c r="A271" s="3">
        <v>270</v>
      </c>
      <c r="B271" s="4">
        <v>40555</v>
      </c>
      <c r="C271" s="3">
        <v>1</v>
      </c>
      <c r="D271" s="3">
        <f t="shared" si="26"/>
        <v>2011</v>
      </c>
      <c r="E271" s="3">
        <v>1</v>
      </c>
      <c r="F271" s="3">
        <v>16</v>
      </c>
      <c r="G271" s="3" t="str">
        <f t="shared" si="27"/>
        <v>Afternoon</v>
      </c>
      <c r="H271" s="3" t="b">
        <v>0</v>
      </c>
      <c r="I271" s="3" t="str">
        <f t="shared" si="25"/>
        <v>Working day</v>
      </c>
      <c r="J271" s="3">
        <v>3</v>
      </c>
      <c r="K271" s="3" t="str">
        <f t="shared" si="28"/>
        <v>Thursday</v>
      </c>
      <c r="L271" s="3">
        <v>1</v>
      </c>
      <c r="M271" s="3" t="str">
        <f t="shared" si="29"/>
        <v>Nice weather</v>
      </c>
      <c r="N271" s="3">
        <v>0.22</v>
      </c>
      <c r="O271">
        <f t="shared" si="30"/>
        <v>22</v>
      </c>
    </row>
    <row r="272" spans="1:15" ht="13.2" x14ac:dyDescent="0.25">
      <c r="A272" s="3">
        <v>271</v>
      </c>
      <c r="B272" s="4">
        <v>40555</v>
      </c>
      <c r="C272" s="3">
        <v>1</v>
      </c>
      <c r="D272" s="3">
        <f t="shared" si="26"/>
        <v>2011</v>
      </c>
      <c r="E272" s="3">
        <v>1</v>
      </c>
      <c r="F272" s="3">
        <v>17</v>
      </c>
      <c r="G272" s="3" t="str">
        <f t="shared" si="27"/>
        <v>Afternoon</v>
      </c>
      <c r="H272" s="3" t="b">
        <v>0</v>
      </c>
      <c r="I272" s="3" t="str">
        <f t="shared" si="25"/>
        <v>Working day</v>
      </c>
      <c r="J272" s="3">
        <v>3</v>
      </c>
      <c r="K272" s="3" t="str">
        <f t="shared" si="28"/>
        <v>Thursday</v>
      </c>
      <c r="L272" s="3">
        <v>1</v>
      </c>
      <c r="M272" s="3" t="str">
        <f t="shared" si="29"/>
        <v>Nice weather</v>
      </c>
      <c r="N272" s="3">
        <v>0.2</v>
      </c>
      <c r="O272">
        <f t="shared" si="30"/>
        <v>20</v>
      </c>
    </row>
    <row r="273" spans="1:15" ht="13.2" x14ac:dyDescent="0.25">
      <c r="A273" s="3">
        <v>272</v>
      </c>
      <c r="B273" s="4">
        <v>40555</v>
      </c>
      <c r="C273" s="3">
        <v>1</v>
      </c>
      <c r="D273" s="3">
        <f t="shared" si="26"/>
        <v>2011</v>
      </c>
      <c r="E273" s="3">
        <v>1</v>
      </c>
      <c r="F273" s="3">
        <v>18</v>
      </c>
      <c r="G273" s="3" t="str">
        <f t="shared" si="27"/>
        <v>Evening</v>
      </c>
      <c r="H273" s="3" t="b">
        <v>0</v>
      </c>
      <c r="I273" s="3" t="str">
        <f t="shared" si="25"/>
        <v>Working day</v>
      </c>
      <c r="J273" s="3">
        <v>3</v>
      </c>
      <c r="K273" s="3" t="str">
        <f t="shared" si="28"/>
        <v>Thursday</v>
      </c>
      <c r="L273" s="3">
        <v>1</v>
      </c>
      <c r="M273" s="3" t="str">
        <f t="shared" si="29"/>
        <v>Nice weather</v>
      </c>
      <c r="N273" s="3">
        <v>0.2</v>
      </c>
      <c r="O273">
        <f t="shared" si="30"/>
        <v>20</v>
      </c>
    </row>
    <row r="274" spans="1:15" ht="13.2" x14ac:dyDescent="0.25">
      <c r="A274" s="3">
        <v>273</v>
      </c>
      <c r="B274" s="4">
        <v>40555</v>
      </c>
      <c r="C274" s="3">
        <v>1</v>
      </c>
      <c r="D274" s="3">
        <f t="shared" si="26"/>
        <v>2011</v>
      </c>
      <c r="E274" s="3">
        <v>1</v>
      </c>
      <c r="F274" s="3">
        <v>19</v>
      </c>
      <c r="G274" s="3" t="str">
        <f t="shared" si="27"/>
        <v>Evening</v>
      </c>
      <c r="H274" s="3" t="b">
        <v>0</v>
      </c>
      <c r="I274" s="3" t="str">
        <f t="shared" si="25"/>
        <v>Working day</v>
      </c>
      <c r="J274" s="3">
        <v>3</v>
      </c>
      <c r="K274" s="3" t="str">
        <f t="shared" si="28"/>
        <v>Thursday</v>
      </c>
      <c r="L274" s="3">
        <v>1</v>
      </c>
      <c r="M274" s="3" t="str">
        <f t="shared" si="29"/>
        <v>Nice weather</v>
      </c>
      <c r="N274" s="3">
        <v>0.18</v>
      </c>
      <c r="O274">
        <f t="shared" si="30"/>
        <v>18</v>
      </c>
    </row>
    <row r="275" spans="1:15" ht="13.2" x14ac:dyDescent="0.25">
      <c r="A275" s="3">
        <v>274</v>
      </c>
      <c r="B275" s="4">
        <v>40555</v>
      </c>
      <c r="C275" s="3">
        <v>1</v>
      </c>
      <c r="D275" s="3">
        <f t="shared" si="26"/>
        <v>2011</v>
      </c>
      <c r="E275" s="3">
        <v>1</v>
      </c>
      <c r="F275" s="3">
        <v>20</v>
      </c>
      <c r="G275" s="3" t="str">
        <f t="shared" si="27"/>
        <v>Evening</v>
      </c>
      <c r="H275" s="3" t="b">
        <v>0</v>
      </c>
      <c r="I275" s="3" t="str">
        <f t="shared" si="25"/>
        <v>Working day</v>
      </c>
      <c r="J275" s="3">
        <v>3</v>
      </c>
      <c r="K275" s="3" t="str">
        <f t="shared" si="28"/>
        <v>Thursday</v>
      </c>
      <c r="L275" s="3">
        <v>1</v>
      </c>
      <c r="M275" s="3" t="str">
        <f t="shared" si="29"/>
        <v>Nice weather</v>
      </c>
      <c r="N275" s="3">
        <v>0.16</v>
      </c>
      <c r="O275">
        <f t="shared" si="30"/>
        <v>16</v>
      </c>
    </row>
    <row r="276" spans="1:15" ht="13.2" x14ac:dyDescent="0.25">
      <c r="A276" s="3">
        <v>275</v>
      </c>
      <c r="B276" s="4">
        <v>40555</v>
      </c>
      <c r="C276" s="3">
        <v>1</v>
      </c>
      <c r="D276" s="3">
        <f t="shared" si="26"/>
        <v>2011</v>
      </c>
      <c r="E276" s="3">
        <v>1</v>
      </c>
      <c r="F276" s="3">
        <v>21</v>
      </c>
      <c r="G276" s="3" t="str">
        <f t="shared" si="27"/>
        <v>Evening</v>
      </c>
      <c r="H276" s="3" t="b">
        <v>0</v>
      </c>
      <c r="I276" s="3" t="str">
        <f t="shared" si="25"/>
        <v>Working day</v>
      </c>
      <c r="J276" s="3">
        <v>3</v>
      </c>
      <c r="K276" s="3" t="str">
        <f t="shared" si="28"/>
        <v>Thursday</v>
      </c>
      <c r="L276" s="3">
        <v>1</v>
      </c>
      <c r="M276" s="3" t="str">
        <f t="shared" si="29"/>
        <v>Nice weather</v>
      </c>
      <c r="N276" s="3">
        <v>0.16</v>
      </c>
      <c r="O276">
        <f t="shared" si="30"/>
        <v>16</v>
      </c>
    </row>
    <row r="277" spans="1:15" ht="13.2" x14ac:dyDescent="0.25">
      <c r="A277" s="3">
        <v>276</v>
      </c>
      <c r="B277" s="4">
        <v>40555</v>
      </c>
      <c r="C277" s="3">
        <v>1</v>
      </c>
      <c r="D277" s="3">
        <f t="shared" si="26"/>
        <v>2011</v>
      </c>
      <c r="E277" s="3">
        <v>1</v>
      </c>
      <c r="F277" s="3">
        <v>22</v>
      </c>
      <c r="G277" s="3" t="str">
        <f t="shared" si="27"/>
        <v>Evening</v>
      </c>
      <c r="H277" s="3" t="b">
        <v>0</v>
      </c>
      <c r="I277" s="3" t="str">
        <f t="shared" si="25"/>
        <v>Working day</v>
      </c>
      <c r="J277" s="3">
        <v>3</v>
      </c>
      <c r="K277" s="3" t="str">
        <f t="shared" si="28"/>
        <v>Thursday</v>
      </c>
      <c r="L277" s="3">
        <v>1</v>
      </c>
      <c r="M277" s="3" t="str">
        <f t="shared" si="29"/>
        <v>Nice weather</v>
      </c>
      <c r="N277" s="3">
        <v>0.16</v>
      </c>
      <c r="O277">
        <f t="shared" si="30"/>
        <v>16</v>
      </c>
    </row>
    <row r="278" spans="1:15" ht="13.2" x14ac:dyDescent="0.25">
      <c r="A278" s="3">
        <v>277</v>
      </c>
      <c r="B278" s="4">
        <v>40555</v>
      </c>
      <c r="C278" s="3">
        <v>1</v>
      </c>
      <c r="D278" s="3">
        <f t="shared" si="26"/>
        <v>2011</v>
      </c>
      <c r="E278" s="3">
        <v>1</v>
      </c>
      <c r="F278" s="3">
        <v>23</v>
      </c>
      <c r="G278" s="3" t="str">
        <f t="shared" si="27"/>
        <v>Evening</v>
      </c>
      <c r="H278" s="3" t="b">
        <v>0</v>
      </c>
      <c r="I278" s="3" t="str">
        <f t="shared" si="25"/>
        <v>Working day</v>
      </c>
      <c r="J278" s="3">
        <v>3</v>
      </c>
      <c r="K278" s="3" t="str">
        <f t="shared" si="28"/>
        <v>Thursday</v>
      </c>
      <c r="L278" s="3">
        <v>1</v>
      </c>
      <c r="M278" s="3" t="str">
        <f t="shared" si="29"/>
        <v>Nice weather</v>
      </c>
      <c r="N278" s="3">
        <v>0.14000000000000001</v>
      </c>
      <c r="O278">
        <f t="shared" si="30"/>
        <v>14.000000000000002</v>
      </c>
    </row>
    <row r="279" spans="1:15" ht="13.2" x14ac:dyDescent="0.25">
      <c r="A279" s="3">
        <v>278</v>
      </c>
      <c r="B279" s="4">
        <v>40556</v>
      </c>
      <c r="C279" s="3">
        <v>1</v>
      </c>
      <c r="D279" s="3">
        <f t="shared" si="26"/>
        <v>2011</v>
      </c>
      <c r="E279" s="3">
        <v>1</v>
      </c>
      <c r="F279" s="3">
        <v>0</v>
      </c>
      <c r="G279" s="3" t="str">
        <f t="shared" si="27"/>
        <v>Night</v>
      </c>
      <c r="H279" s="3" t="b">
        <v>0</v>
      </c>
      <c r="I279" s="3" t="str">
        <f t="shared" si="25"/>
        <v>Working day</v>
      </c>
      <c r="J279" s="3">
        <v>4</v>
      </c>
      <c r="K279" s="3" t="str">
        <f t="shared" si="28"/>
        <v>Friday</v>
      </c>
      <c r="L279" s="3">
        <v>1</v>
      </c>
      <c r="M279" s="3" t="str">
        <f t="shared" si="29"/>
        <v>Nice weather</v>
      </c>
      <c r="N279" s="3">
        <v>0.14000000000000001</v>
      </c>
      <c r="O279">
        <f t="shared" si="30"/>
        <v>14.000000000000002</v>
      </c>
    </row>
    <row r="280" spans="1:15" ht="13.2" x14ac:dyDescent="0.25">
      <c r="A280" s="3">
        <v>279</v>
      </c>
      <c r="B280" s="4">
        <v>40556</v>
      </c>
      <c r="C280" s="3">
        <v>1</v>
      </c>
      <c r="D280" s="3">
        <f t="shared" si="26"/>
        <v>2011</v>
      </c>
      <c r="E280" s="3">
        <v>1</v>
      </c>
      <c r="F280" s="3">
        <v>1</v>
      </c>
      <c r="G280" s="3" t="str">
        <f t="shared" si="27"/>
        <v>Night</v>
      </c>
      <c r="H280" s="3" t="b">
        <v>0</v>
      </c>
      <c r="I280" s="3" t="str">
        <f t="shared" si="25"/>
        <v>Working day</v>
      </c>
      <c r="J280" s="3">
        <v>4</v>
      </c>
      <c r="K280" s="3" t="str">
        <f t="shared" si="28"/>
        <v>Friday</v>
      </c>
      <c r="L280" s="3">
        <v>1</v>
      </c>
      <c r="M280" s="3" t="str">
        <f t="shared" si="29"/>
        <v>Nice weather</v>
      </c>
      <c r="N280" s="3">
        <v>0.14000000000000001</v>
      </c>
      <c r="O280">
        <f t="shared" si="30"/>
        <v>14.000000000000002</v>
      </c>
    </row>
    <row r="281" spans="1:15" ht="13.2" x14ac:dyDescent="0.25">
      <c r="A281" s="3">
        <v>280</v>
      </c>
      <c r="B281" s="4">
        <v>40556</v>
      </c>
      <c r="C281" s="3">
        <v>1</v>
      </c>
      <c r="D281" s="3">
        <f t="shared" si="26"/>
        <v>2011</v>
      </c>
      <c r="E281" s="3">
        <v>1</v>
      </c>
      <c r="F281" s="3">
        <v>2</v>
      </c>
      <c r="G281" s="3" t="str">
        <f t="shared" si="27"/>
        <v>Night</v>
      </c>
      <c r="H281" s="3" t="b">
        <v>0</v>
      </c>
      <c r="I281" s="3" t="str">
        <f t="shared" si="25"/>
        <v>Working day</v>
      </c>
      <c r="J281" s="3">
        <v>4</v>
      </c>
      <c r="K281" s="3" t="str">
        <f t="shared" si="28"/>
        <v>Friday</v>
      </c>
      <c r="L281" s="3">
        <v>1</v>
      </c>
      <c r="M281" s="3" t="str">
        <f t="shared" si="29"/>
        <v>Nice weather</v>
      </c>
      <c r="N281" s="3">
        <v>0.14000000000000001</v>
      </c>
      <c r="O281">
        <f t="shared" si="30"/>
        <v>14.000000000000002</v>
      </c>
    </row>
    <row r="282" spans="1:15" ht="13.2" x14ac:dyDescent="0.25">
      <c r="A282" s="3">
        <v>281</v>
      </c>
      <c r="B282" s="4">
        <v>40556</v>
      </c>
      <c r="C282" s="3">
        <v>1</v>
      </c>
      <c r="D282" s="3">
        <f t="shared" si="26"/>
        <v>2011</v>
      </c>
      <c r="E282" s="3">
        <v>1</v>
      </c>
      <c r="F282" s="3">
        <v>3</v>
      </c>
      <c r="G282" s="3" t="str">
        <f t="shared" si="27"/>
        <v>Night</v>
      </c>
      <c r="H282" s="3" t="b">
        <v>0</v>
      </c>
      <c r="I282" s="3" t="str">
        <f t="shared" si="25"/>
        <v>Working day</v>
      </c>
      <c r="J282" s="3">
        <v>4</v>
      </c>
      <c r="K282" s="3" t="str">
        <f t="shared" si="28"/>
        <v>Friday</v>
      </c>
      <c r="L282" s="3">
        <v>1</v>
      </c>
      <c r="M282" s="3" t="str">
        <f t="shared" si="29"/>
        <v>Nice weather</v>
      </c>
      <c r="N282" s="3">
        <v>0.14000000000000001</v>
      </c>
      <c r="O282">
        <f t="shared" si="30"/>
        <v>14.000000000000002</v>
      </c>
    </row>
    <row r="283" spans="1:15" ht="13.2" x14ac:dyDescent="0.25">
      <c r="A283" s="3">
        <v>282</v>
      </c>
      <c r="B283" s="4">
        <v>40556</v>
      </c>
      <c r="C283" s="3">
        <v>1</v>
      </c>
      <c r="D283" s="3">
        <f t="shared" si="26"/>
        <v>2011</v>
      </c>
      <c r="E283" s="3">
        <v>1</v>
      </c>
      <c r="F283" s="3">
        <v>4</v>
      </c>
      <c r="G283" s="3" t="str">
        <f t="shared" si="27"/>
        <v>Night</v>
      </c>
      <c r="H283" s="3" t="b">
        <v>0</v>
      </c>
      <c r="I283" s="3" t="str">
        <f t="shared" si="25"/>
        <v>Working day</v>
      </c>
      <c r="J283" s="3">
        <v>4</v>
      </c>
      <c r="K283" s="3" t="str">
        <f t="shared" si="28"/>
        <v>Friday</v>
      </c>
      <c r="L283" s="3">
        <v>1</v>
      </c>
      <c r="M283" s="3" t="str">
        <f t="shared" si="29"/>
        <v>Nice weather</v>
      </c>
      <c r="N283" s="3">
        <v>0.14000000000000001</v>
      </c>
      <c r="O283">
        <f t="shared" si="30"/>
        <v>14.000000000000002</v>
      </c>
    </row>
    <row r="284" spans="1:15" ht="13.2" x14ac:dyDescent="0.25">
      <c r="A284" s="3">
        <v>283</v>
      </c>
      <c r="B284" s="4">
        <v>40556</v>
      </c>
      <c r="C284" s="3">
        <v>1</v>
      </c>
      <c r="D284" s="3">
        <f t="shared" si="26"/>
        <v>2011</v>
      </c>
      <c r="E284" s="3">
        <v>1</v>
      </c>
      <c r="F284" s="3">
        <v>5</v>
      </c>
      <c r="G284" s="3" t="str">
        <f t="shared" si="27"/>
        <v>Night</v>
      </c>
      <c r="H284" s="3" t="b">
        <v>0</v>
      </c>
      <c r="I284" s="3" t="str">
        <f t="shared" si="25"/>
        <v>Working day</v>
      </c>
      <c r="J284" s="3">
        <v>4</v>
      </c>
      <c r="K284" s="3" t="str">
        <f t="shared" si="28"/>
        <v>Friday</v>
      </c>
      <c r="L284" s="3">
        <v>1</v>
      </c>
      <c r="M284" s="3" t="str">
        <f t="shared" si="29"/>
        <v>Nice weather</v>
      </c>
      <c r="N284" s="3">
        <v>0.14000000000000001</v>
      </c>
      <c r="O284">
        <f t="shared" si="30"/>
        <v>14.000000000000002</v>
      </c>
    </row>
    <row r="285" spans="1:15" ht="13.2" x14ac:dyDescent="0.25">
      <c r="A285" s="3">
        <v>284</v>
      </c>
      <c r="B285" s="4">
        <v>40556</v>
      </c>
      <c r="C285" s="3">
        <v>1</v>
      </c>
      <c r="D285" s="3">
        <f t="shared" si="26"/>
        <v>2011</v>
      </c>
      <c r="E285" s="3">
        <v>1</v>
      </c>
      <c r="F285" s="3">
        <v>6</v>
      </c>
      <c r="G285" s="3" t="str">
        <f t="shared" si="27"/>
        <v>Morning</v>
      </c>
      <c r="H285" s="3" t="b">
        <v>0</v>
      </c>
      <c r="I285" s="3" t="str">
        <f t="shared" si="25"/>
        <v>Working day</v>
      </c>
      <c r="J285" s="3">
        <v>4</v>
      </c>
      <c r="K285" s="3" t="str">
        <f t="shared" si="28"/>
        <v>Friday</v>
      </c>
      <c r="L285" s="3">
        <v>1</v>
      </c>
      <c r="M285" s="3" t="str">
        <f t="shared" si="29"/>
        <v>Nice weather</v>
      </c>
      <c r="N285" s="3">
        <v>0.12</v>
      </c>
      <c r="O285">
        <f t="shared" si="30"/>
        <v>12</v>
      </c>
    </row>
    <row r="286" spans="1:15" ht="13.2" x14ac:dyDescent="0.25">
      <c r="A286" s="3">
        <v>285</v>
      </c>
      <c r="B286" s="4">
        <v>40556</v>
      </c>
      <c r="C286" s="3">
        <v>1</v>
      </c>
      <c r="D286" s="3">
        <f t="shared" si="26"/>
        <v>2011</v>
      </c>
      <c r="E286" s="3">
        <v>1</v>
      </c>
      <c r="F286" s="3">
        <v>7</v>
      </c>
      <c r="G286" s="3" t="str">
        <f t="shared" si="27"/>
        <v>Morning</v>
      </c>
      <c r="H286" s="3" t="b">
        <v>0</v>
      </c>
      <c r="I286" s="3" t="str">
        <f t="shared" si="25"/>
        <v>Working day</v>
      </c>
      <c r="J286" s="3">
        <v>4</v>
      </c>
      <c r="K286" s="3" t="str">
        <f t="shared" si="28"/>
        <v>Friday</v>
      </c>
      <c r="L286" s="3">
        <v>1</v>
      </c>
      <c r="M286" s="3" t="str">
        <f t="shared" si="29"/>
        <v>Nice weather</v>
      </c>
      <c r="N286" s="3">
        <v>0.12</v>
      </c>
      <c r="O286">
        <f t="shared" si="30"/>
        <v>12</v>
      </c>
    </row>
    <row r="287" spans="1:15" ht="13.2" x14ac:dyDescent="0.25">
      <c r="A287" s="3">
        <v>286</v>
      </c>
      <c r="B287" s="4">
        <v>40556</v>
      </c>
      <c r="C287" s="3">
        <v>1</v>
      </c>
      <c r="D287" s="3">
        <f t="shared" si="26"/>
        <v>2011</v>
      </c>
      <c r="E287" s="3">
        <v>1</v>
      </c>
      <c r="F287" s="3">
        <v>8</v>
      </c>
      <c r="G287" s="3" t="str">
        <f t="shared" si="27"/>
        <v>Morning</v>
      </c>
      <c r="H287" s="3" t="b">
        <v>0</v>
      </c>
      <c r="I287" s="3" t="str">
        <f t="shared" si="25"/>
        <v>Working day</v>
      </c>
      <c r="J287" s="3">
        <v>4</v>
      </c>
      <c r="K287" s="3" t="str">
        <f t="shared" si="28"/>
        <v>Friday</v>
      </c>
      <c r="L287" s="3">
        <v>1</v>
      </c>
      <c r="M287" s="3" t="str">
        <f t="shared" si="29"/>
        <v>Nice weather</v>
      </c>
      <c r="N287" s="3">
        <v>0.14000000000000001</v>
      </c>
      <c r="O287">
        <f t="shared" si="30"/>
        <v>14.000000000000002</v>
      </c>
    </row>
    <row r="288" spans="1:15" ht="13.2" x14ac:dyDescent="0.25">
      <c r="A288" s="3">
        <v>287</v>
      </c>
      <c r="B288" s="4">
        <v>40556</v>
      </c>
      <c r="C288" s="3">
        <v>1</v>
      </c>
      <c r="D288" s="3">
        <f t="shared" si="26"/>
        <v>2011</v>
      </c>
      <c r="E288" s="3">
        <v>1</v>
      </c>
      <c r="F288" s="3">
        <v>9</v>
      </c>
      <c r="G288" s="3" t="str">
        <f t="shared" si="27"/>
        <v>Morning</v>
      </c>
      <c r="H288" s="3" t="b">
        <v>0</v>
      </c>
      <c r="I288" s="3" t="str">
        <f t="shared" si="25"/>
        <v>Working day</v>
      </c>
      <c r="J288" s="3">
        <v>4</v>
      </c>
      <c r="K288" s="3" t="str">
        <f t="shared" si="28"/>
        <v>Friday</v>
      </c>
      <c r="L288" s="3">
        <v>1</v>
      </c>
      <c r="M288" s="3" t="str">
        <f t="shared" si="29"/>
        <v>Nice weather</v>
      </c>
      <c r="N288" s="3">
        <v>0.14000000000000001</v>
      </c>
      <c r="O288">
        <f t="shared" si="30"/>
        <v>14.000000000000002</v>
      </c>
    </row>
    <row r="289" spans="1:15" ht="13.2" x14ac:dyDescent="0.25">
      <c r="A289" s="3">
        <v>288</v>
      </c>
      <c r="B289" s="4">
        <v>40556</v>
      </c>
      <c r="C289" s="3">
        <v>1</v>
      </c>
      <c r="D289" s="3">
        <f t="shared" si="26"/>
        <v>2011</v>
      </c>
      <c r="E289" s="3">
        <v>1</v>
      </c>
      <c r="F289" s="3">
        <v>10</v>
      </c>
      <c r="G289" s="3" t="str">
        <f t="shared" si="27"/>
        <v>Morning</v>
      </c>
      <c r="H289" s="3" t="b">
        <v>0</v>
      </c>
      <c r="I289" s="3" t="str">
        <f t="shared" si="25"/>
        <v>Working day</v>
      </c>
      <c r="J289" s="3">
        <v>4</v>
      </c>
      <c r="K289" s="3" t="str">
        <f t="shared" si="28"/>
        <v>Friday</v>
      </c>
      <c r="L289" s="3">
        <v>2</v>
      </c>
      <c r="M289" s="3" t="str">
        <f t="shared" si="29"/>
        <v>Mild Cloudy</v>
      </c>
      <c r="N289" s="3">
        <v>0.16</v>
      </c>
      <c r="O289">
        <f t="shared" si="30"/>
        <v>16</v>
      </c>
    </row>
    <row r="290" spans="1:15" ht="13.2" x14ac:dyDescent="0.25">
      <c r="A290" s="3">
        <v>289</v>
      </c>
      <c r="B290" s="4">
        <v>40556</v>
      </c>
      <c r="C290" s="3">
        <v>1</v>
      </c>
      <c r="D290" s="3">
        <f t="shared" si="26"/>
        <v>2011</v>
      </c>
      <c r="E290" s="3">
        <v>1</v>
      </c>
      <c r="F290" s="3">
        <v>11</v>
      </c>
      <c r="G290" s="3" t="str">
        <f t="shared" si="27"/>
        <v>Morning</v>
      </c>
      <c r="H290" s="3" t="b">
        <v>0</v>
      </c>
      <c r="I290" s="3" t="str">
        <f t="shared" si="25"/>
        <v>Working day</v>
      </c>
      <c r="J290" s="3">
        <v>4</v>
      </c>
      <c r="K290" s="3" t="str">
        <f t="shared" si="28"/>
        <v>Friday</v>
      </c>
      <c r="L290" s="3">
        <v>2</v>
      </c>
      <c r="M290" s="3" t="str">
        <f t="shared" si="29"/>
        <v>Mild Cloudy</v>
      </c>
      <c r="N290" s="3">
        <v>0.2</v>
      </c>
      <c r="O290">
        <f t="shared" si="30"/>
        <v>20</v>
      </c>
    </row>
    <row r="291" spans="1:15" ht="13.2" x14ac:dyDescent="0.25">
      <c r="A291" s="3">
        <v>290</v>
      </c>
      <c r="B291" s="4">
        <v>40556</v>
      </c>
      <c r="C291" s="3">
        <v>1</v>
      </c>
      <c r="D291" s="3">
        <f t="shared" si="26"/>
        <v>2011</v>
      </c>
      <c r="E291" s="3">
        <v>1</v>
      </c>
      <c r="F291" s="3">
        <v>12</v>
      </c>
      <c r="G291" s="3" t="str">
        <f t="shared" si="27"/>
        <v>Afternoon</v>
      </c>
      <c r="H291" s="3" t="b">
        <v>0</v>
      </c>
      <c r="I291" s="3" t="str">
        <f t="shared" si="25"/>
        <v>Working day</v>
      </c>
      <c r="J291" s="3">
        <v>4</v>
      </c>
      <c r="K291" s="3" t="str">
        <f t="shared" si="28"/>
        <v>Friday</v>
      </c>
      <c r="L291" s="3">
        <v>1</v>
      </c>
      <c r="M291" s="3" t="str">
        <f t="shared" si="29"/>
        <v>Nice weather</v>
      </c>
      <c r="N291" s="3">
        <v>0.2</v>
      </c>
      <c r="O291">
        <f t="shared" si="30"/>
        <v>20</v>
      </c>
    </row>
    <row r="292" spans="1:15" ht="13.2" x14ac:dyDescent="0.25">
      <c r="A292" s="3">
        <v>291</v>
      </c>
      <c r="B292" s="4">
        <v>40556</v>
      </c>
      <c r="C292" s="3">
        <v>1</v>
      </c>
      <c r="D292" s="3">
        <f t="shared" si="26"/>
        <v>2011</v>
      </c>
      <c r="E292" s="3">
        <v>1</v>
      </c>
      <c r="F292" s="3">
        <v>13</v>
      </c>
      <c r="G292" s="3" t="str">
        <f t="shared" si="27"/>
        <v>Afternoon</v>
      </c>
      <c r="H292" s="3" t="b">
        <v>0</v>
      </c>
      <c r="I292" s="3" t="str">
        <f t="shared" si="25"/>
        <v>Working day</v>
      </c>
      <c r="J292" s="3">
        <v>4</v>
      </c>
      <c r="K292" s="3" t="str">
        <f t="shared" si="28"/>
        <v>Friday</v>
      </c>
      <c r="L292" s="3">
        <v>1</v>
      </c>
      <c r="M292" s="3" t="str">
        <f t="shared" si="29"/>
        <v>Nice weather</v>
      </c>
      <c r="N292" s="3">
        <v>0.22</v>
      </c>
      <c r="O292">
        <f t="shared" si="30"/>
        <v>22</v>
      </c>
    </row>
    <row r="293" spans="1:15" ht="13.2" x14ac:dyDescent="0.25">
      <c r="A293" s="3">
        <v>292</v>
      </c>
      <c r="B293" s="4">
        <v>40556</v>
      </c>
      <c r="C293" s="3">
        <v>1</v>
      </c>
      <c r="D293" s="3">
        <f t="shared" si="26"/>
        <v>2011</v>
      </c>
      <c r="E293" s="3">
        <v>1</v>
      </c>
      <c r="F293" s="3">
        <v>14</v>
      </c>
      <c r="G293" s="3" t="str">
        <f t="shared" si="27"/>
        <v>Afternoon</v>
      </c>
      <c r="H293" s="3" t="b">
        <v>0</v>
      </c>
      <c r="I293" s="3" t="str">
        <f t="shared" si="25"/>
        <v>Working day</v>
      </c>
      <c r="J293" s="3">
        <v>4</v>
      </c>
      <c r="K293" s="3" t="str">
        <f t="shared" si="28"/>
        <v>Friday</v>
      </c>
      <c r="L293" s="3">
        <v>1</v>
      </c>
      <c r="M293" s="3" t="str">
        <f t="shared" si="29"/>
        <v>Nice weather</v>
      </c>
      <c r="N293" s="3">
        <v>0.22</v>
      </c>
      <c r="O293">
        <f t="shared" si="30"/>
        <v>22</v>
      </c>
    </row>
    <row r="294" spans="1:15" ht="13.2" x14ac:dyDescent="0.25">
      <c r="A294" s="3">
        <v>293</v>
      </c>
      <c r="B294" s="4">
        <v>40556</v>
      </c>
      <c r="C294" s="3">
        <v>1</v>
      </c>
      <c r="D294" s="3">
        <f t="shared" si="26"/>
        <v>2011</v>
      </c>
      <c r="E294" s="3">
        <v>1</v>
      </c>
      <c r="F294" s="3">
        <v>15</v>
      </c>
      <c r="G294" s="3" t="str">
        <f t="shared" si="27"/>
        <v>Afternoon</v>
      </c>
      <c r="H294" s="3" t="b">
        <v>0</v>
      </c>
      <c r="I294" s="3" t="str">
        <f t="shared" si="25"/>
        <v>Working day</v>
      </c>
      <c r="J294" s="3">
        <v>4</v>
      </c>
      <c r="K294" s="3" t="str">
        <f t="shared" si="28"/>
        <v>Friday</v>
      </c>
      <c r="L294" s="3">
        <v>1</v>
      </c>
      <c r="M294" s="3" t="str">
        <f t="shared" si="29"/>
        <v>Nice weather</v>
      </c>
      <c r="N294" s="3">
        <v>0.24</v>
      </c>
      <c r="O294">
        <f t="shared" si="30"/>
        <v>24</v>
      </c>
    </row>
    <row r="295" spans="1:15" ht="13.2" x14ac:dyDescent="0.25">
      <c r="A295" s="3">
        <v>294</v>
      </c>
      <c r="B295" s="4">
        <v>40556</v>
      </c>
      <c r="C295" s="3">
        <v>1</v>
      </c>
      <c r="D295" s="3">
        <f t="shared" si="26"/>
        <v>2011</v>
      </c>
      <c r="E295" s="3">
        <v>1</v>
      </c>
      <c r="F295" s="3">
        <v>16</v>
      </c>
      <c r="G295" s="3" t="str">
        <f t="shared" si="27"/>
        <v>Afternoon</v>
      </c>
      <c r="H295" s="3" t="b">
        <v>0</v>
      </c>
      <c r="I295" s="3" t="str">
        <f t="shared" si="25"/>
        <v>Working day</v>
      </c>
      <c r="J295" s="3">
        <v>4</v>
      </c>
      <c r="K295" s="3" t="str">
        <f t="shared" si="28"/>
        <v>Friday</v>
      </c>
      <c r="L295" s="3">
        <v>1</v>
      </c>
      <c r="M295" s="3" t="str">
        <f t="shared" si="29"/>
        <v>Nice weather</v>
      </c>
      <c r="N295" s="3">
        <v>0.24</v>
      </c>
      <c r="O295">
        <f t="shared" si="30"/>
        <v>24</v>
      </c>
    </row>
    <row r="296" spans="1:15" ht="13.2" x14ac:dyDescent="0.25">
      <c r="A296" s="3">
        <v>295</v>
      </c>
      <c r="B296" s="4">
        <v>40556</v>
      </c>
      <c r="C296" s="3">
        <v>1</v>
      </c>
      <c r="D296" s="3">
        <f t="shared" si="26"/>
        <v>2011</v>
      </c>
      <c r="E296" s="3">
        <v>1</v>
      </c>
      <c r="F296" s="3">
        <v>17</v>
      </c>
      <c r="G296" s="3" t="str">
        <f t="shared" si="27"/>
        <v>Afternoon</v>
      </c>
      <c r="H296" s="3" t="b">
        <v>0</v>
      </c>
      <c r="I296" s="3" t="str">
        <f t="shared" si="25"/>
        <v>Working day</v>
      </c>
      <c r="J296" s="3">
        <v>4</v>
      </c>
      <c r="K296" s="3" t="str">
        <f t="shared" si="28"/>
        <v>Friday</v>
      </c>
      <c r="L296" s="3">
        <v>1</v>
      </c>
      <c r="M296" s="3" t="str">
        <f t="shared" si="29"/>
        <v>Nice weather</v>
      </c>
      <c r="N296" s="3">
        <v>0.2</v>
      </c>
      <c r="O296">
        <f t="shared" si="30"/>
        <v>20</v>
      </c>
    </row>
    <row r="297" spans="1:15" ht="13.2" x14ac:dyDescent="0.25">
      <c r="A297" s="3">
        <v>296</v>
      </c>
      <c r="B297" s="4">
        <v>40556</v>
      </c>
      <c r="C297" s="3">
        <v>1</v>
      </c>
      <c r="D297" s="3">
        <f t="shared" si="26"/>
        <v>2011</v>
      </c>
      <c r="E297" s="3">
        <v>1</v>
      </c>
      <c r="F297" s="3">
        <v>18</v>
      </c>
      <c r="G297" s="3" t="str">
        <f t="shared" si="27"/>
        <v>Evening</v>
      </c>
      <c r="H297" s="3" t="b">
        <v>0</v>
      </c>
      <c r="I297" s="3" t="str">
        <f t="shared" si="25"/>
        <v>Working day</v>
      </c>
      <c r="J297" s="3">
        <v>4</v>
      </c>
      <c r="K297" s="3" t="str">
        <f t="shared" si="28"/>
        <v>Friday</v>
      </c>
      <c r="L297" s="3">
        <v>1</v>
      </c>
      <c r="M297" s="3" t="str">
        <f t="shared" si="29"/>
        <v>Nice weather</v>
      </c>
      <c r="N297" s="3">
        <v>0.2</v>
      </c>
      <c r="O297">
        <f t="shared" si="30"/>
        <v>20</v>
      </c>
    </row>
    <row r="298" spans="1:15" ht="13.2" x14ac:dyDescent="0.25">
      <c r="A298" s="3">
        <v>297</v>
      </c>
      <c r="B298" s="4">
        <v>40556</v>
      </c>
      <c r="C298" s="3">
        <v>1</v>
      </c>
      <c r="D298" s="3">
        <f t="shared" si="26"/>
        <v>2011</v>
      </c>
      <c r="E298" s="3">
        <v>1</v>
      </c>
      <c r="F298" s="3">
        <v>19</v>
      </c>
      <c r="G298" s="3" t="str">
        <f t="shared" si="27"/>
        <v>Evening</v>
      </c>
      <c r="H298" s="3" t="b">
        <v>0</v>
      </c>
      <c r="I298" s="3" t="str">
        <f t="shared" si="25"/>
        <v>Working day</v>
      </c>
      <c r="J298" s="3">
        <v>4</v>
      </c>
      <c r="K298" s="3" t="str">
        <f t="shared" si="28"/>
        <v>Friday</v>
      </c>
      <c r="L298" s="3">
        <v>1</v>
      </c>
      <c r="M298" s="3" t="str">
        <f t="shared" si="29"/>
        <v>Nice weather</v>
      </c>
      <c r="N298" s="3">
        <v>0.16</v>
      </c>
      <c r="O298">
        <f t="shared" si="30"/>
        <v>16</v>
      </c>
    </row>
    <row r="299" spans="1:15" ht="13.2" x14ac:dyDescent="0.25">
      <c r="A299" s="3">
        <v>298</v>
      </c>
      <c r="B299" s="4">
        <v>40556</v>
      </c>
      <c r="C299" s="3">
        <v>1</v>
      </c>
      <c r="D299" s="3">
        <f t="shared" si="26"/>
        <v>2011</v>
      </c>
      <c r="E299" s="3">
        <v>1</v>
      </c>
      <c r="F299" s="3">
        <v>20</v>
      </c>
      <c r="G299" s="3" t="str">
        <f t="shared" si="27"/>
        <v>Evening</v>
      </c>
      <c r="H299" s="3" t="b">
        <v>0</v>
      </c>
      <c r="I299" s="3" t="str">
        <f t="shared" si="25"/>
        <v>Working day</v>
      </c>
      <c r="J299" s="3">
        <v>4</v>
      </c>
      <c r="K299" s="3" t="str">
        <f t="shared" si="28"/>
        <v>Friday</v>
      </c>
      <c r="L299" s="3">
        <v>1</v>
      </c>
      <c r="M299" s="3" t="str">
        <f t="shared" si="29"/>
        <v>Nice weather</v>
      </c>
      <c r="N299" s="3">
        <v>0.16</v>
      </c>
      <c r="O299">
        <f t="shared" si="30"/>
        <v>16</v>
      </c>
    </row>
    <row r="300" spans="1:15" ht="13.2" x14ac:dyDescent="0.25">
      <c r="A300" s="3">
        <v>299</v>
      </c>
      <c r="B300" s="4">
        <v>40556</v>
      </c>
      <c r="C300" s="3">
        <v>1</v>
      </c>
      <c r="D300" s="3">
        <f t="shared" si="26"/>
        <v>2011</v>
      </c>
      <c r="E300" s="3">
        <v>1</v>
      </c>
      <c r="F300" s="3">
        <v>21</v>
      </c>
      <c r="G300" s="3" t="str">
        <f t="shared" si="27"/>
        <v>Evening</v>
      </c>
      <c r="H300" s="3" t="b">
        <v>0</v>
      </c>
      <c r="I300" s="3" t="str">
        <f t="shared" si="25"/>
        <v>Working day</v>
      </c>
      <c r="J300" s="3">
        <v>4</v>
      </c>
      <c r="K300" s="3" t="str">
        <f t="shared" si="28"/>
        <v>Friday</v>
      </c>
      <c r="L300" s="3">
        <v>1</v>
      </c>
      <c r="M300" s="3" t="str">
        <f t="shared" si="29"/>
        <v>Nice weather</v>
      </c>
      <c r="N300" s="3">
        <v>0.14000000000000001</v>
      </c>
      <c r="O300">
        <f t="shared" si="30"/>
        <v>14.000000000000002</v>
      </c>
    </row>
    <row r="301" spans="1:15" ht="13.2" x14ac:dyDescent="0.25">
      <c r="A301" s="3">
        <v>300</v>
      </c>
      <c r="B301" s="4">
        <v>40556</v>
      </c>
      <c r="C301" s="3">
        <v>1</v>
      </c>
      <c r="D301" s="3">
        <f t="shared" si="26"/>
        <v>2011</v>
      </c>
      <c r="E301" s="3">
        <v>1</v>
      </c>
      <c r="F301" s="3">
        <v>22</v>
      </c>
      <c r="G301" s="3" t="str">
        <f t="shared" si="27"/>
        <v>Evening</v>
      </c>
      <c r="H301" s="3" t="b">
        <v>0</v>
      </c>
      <c r="I301" s="3" t="str">
        <f t="shared" si="25"/>
        <v>Working day</v>
      </c>
      <c r="J301" s="3">
        <v>4</v>
      </c>
      <c r="K301" s="3" t="str">
        <f t="shared" si="28"/>
        <v>Friday</v>
      </c>
      <c r="L301" s="3">
        <v>1</v>
      </c>
      <c r="M301" s="3" t="str">
        <f t="shared" si="29"/>
        <v>Nice weather</v>
      </c>
      <c r="N301" s="3">
        <v>0.14000000000000001</v>
      </c>
      <c r="O301">
        <f t="shared" si="30"/>
        <v>14.000000000000002</v>
      </c>
    </row>
    <row r="302" spans="1:15" ht="13.2" x14ac:dyDescent="0.25">
      <c r="A302" s="3">
        <v>301</v>
      </c>
      <c r="B302" s="4">
        <v>40556</v>
      </c>
      <c r="C302" s="3">
        <v>1</v>
      </c>
      <c r="D302" s="3">
        <f t="shared" si="26"/>
        <v>2011</v>
      </c>
      <c r="E302" s="3">
        <v>1</v>
      </c>
      <c r="F302" s="3">
        <v>23</v>
      </c>
      <c r="G302" s="3" t="str">
        <f t="shared" si="27"/>
        <v>Evening</v>
      </c>
      <c r="H302" s="3" t="b">
        <v>0</v>
      </c>
      <c r="I302" s="3" t="str">
        <f t="shared" si="25"/>
        <v>Working day</v>
      </c>
      <c r="J302" s="3">
        <v>4</v>
      </c>
      <c r="K302" s="3" t="str">
        <f t="shared" si="28"/>
        <v>Friday</v>
      </c>
      <c r="L302" s="3">
        <v>1</v>
      </c>
      <c r="M302" s="3" t="str">
        <f t="shared" si="29"/>
        <v>Nice weather</v>
      </c>
      <c r="N302" s="3">
        <v>0.12</v>
      </c>
      <c r="O302">
        <f t="shared" si="30"/>
        <v>12</v>
      </c>
    </row>
    <row r="303" spans="1:15" ht="13.2" x14ac:dyDescent="0.25">
      <c r="A303" s="3">
        <v>302</v>
      </c>
      <c r="B303" s="4">
        <v>40557</v>
      </c>
      <c r="C303" s="3">
        <v>1</v>
      </c>
      <c r="D303" s="3">
        <f t="shared" si="26"/>
        <v>2011</v>
      </c>
      <c r="E303" s="3">
        <v>1</v>
      </c>
      <c r="F303" s="3">
        <v>0</v>
      </c>
      <c r="G303" s="3" t="str">
        <f t="shared" si="27"/>
        <v>Night</v>
      </c>
      <c r="H303" s="3" t="b">
        <v>0</v>
      </c>
      <c r="I303" s="3" t="str">
        <f t="shared" si="25"/>
        <v>Working day</v>
      </c>
      <c r="J303" s="3">
        <v>5</v>
      </c>
      <c r="K303" s="3" t="str">
        <f t="shared" si="28"/>
        <v>Saturday</v>
      </c>
      <c r="L303" s="3">
        <v>1</v>
      </c>
      <c r="M303" s="3" t="str">
        <f t="shared" si="29"/>
        <v>Nice weather</v>
      </c>
      <c r="N303" s="3">
        <v>0.12</v>
      </c>
      <c r="O303">
        <f t="shared" si="30"/>
        <v>12</v>
      </c>
    </row>
    <row r="304" spans="1:15" ht="13.2" x14ac:dyDescent="0.25">
      <c r="A304" s="3">
        <v>303</v>
      </c>
      <c r="B304" s="4">
        <v>40557</v>
      </c>
      <c r="C304" s="3">
        <v>1</v>
      </c>
      <c r="D304" s="3">
        <f t="shared" si="26"/>
        <v>2011</v>
      </c>
      <c r="E304" s="3">
        <v>1</v>
      </c>
      <c r="F304" s="3">
        <v>1</v>
      </c>
      <c r="G304" s="3" t="str">
        <f t="shared" si="27"/>
        <v>Night</v>
      </c>
      <c r="H304" s="3" t="b">
        <v>0</v>
      </c>
      <c r="I304" s="3" t="str">
        <f t="shared" si="25"/>
        <v>Working day</v>
      </c>
      <c r="J304" s="3">
        <v>5</v>
      </c>
      <c r="K304" s="3" t="str">
        <f t="shared" si="28"/>
        <v>Saturday</v>
      </c>
      <c r="L304" s="3">
        <v>1</v>
      </c>
      <c r="M304" s="3" t="str">
        <f t="shared" si="29"/>
        <v>Nice weather</v>
      </c>
      <c r="N304" s="3">
        <v>0.1</v>
      </c>
      <c r="O304">
        <f t="shared" si="30"/>
        <v>10</v>
      </c>
    </row>
    <row r="305" spans="1:15" ht="13.2" x14ac:dyDescent="0.25">
      <c r="A305" s="3">
        <v>304</v>
      </c>
      <c r="B305" s="4">
        <v>40557</v>
      </c>
      <c r="C305" s="3">
        <v>1</v>
      </c>
      <c r="D305" s="3">
        <f t="shared" si="26"/>
        <v>2011</v>
      </c>
      <c r="E305" s="3">
        <v>1</v>
      </c>
      <c r="F305" s="3">
        <v>2</v>
      </c>
      <c r="G305" s="3" t="str">
        <f t="shared" si="27"/>
        <v>Night</v>
      </c>
      <c r="H305" s="3" t="b">
        <v>0</v>
      </c>
      <c r="I305" s="3" t="str">
        <f t="shared" si="25"/>
        <v>Working day</v>
      </c>
      <c r="J305" s="3">
        <v>5</v>
      </c>
      <c r="K305" s="3" t="str">
        <f t="shared" si="28"/>
        <v>Saturday</v>
      </c>
      <c r="L305" s="3">
        <v>1</v>
      </c>
      <c r="M305" s="3" t="str">
        <f t="shared" si="29"/>
        <v>Nice weather</v>
      </c>
      <c r="N305" s="3">
        <v>0.1</v>
      </c>
      <c r="O305">
        <f t="shared" si="30"/>
        <v>10</v>
      </c>
    </row>
    <row r="306" spans="1:15" ht="13.2" x14ac:dyDescent="0.25">
      <c r="A306" s="3">
        <v>305</v>
      </c>
      <c r="B306" s="4">
        <v>40557</v>
      </c>
      <c r="C306" s="3">
        <v>1</v>
      </c>
      <c r="D306" s="3">
        <f t="shared" si="26"/>
        <v>2011</v>
      </c>
      <c r="E306" s="3">
        <v>1</v>
      </c>
      <c r="F306" s="3">
        <v>3</v>
      </c>
      <c r="G306" s="3" t="str">
        <f t="shared" si="27"/>
        <v>Night</v>
      </c>
      <c r="H306" s="3" t="b">
        <v>0</v>
      </c>
      <c r="I306" s="3" t="str">
        <f t="shared" si="25"/>
        <v>Working day</v>
      </c>
      <c r="J306" s="3">
        <v>5</v>
      </c>
      <c r="K306" s="3" t="str">
        <f t="shared" si="28"/>
        <v>Saturday</v>
      </c>
      <c r="L306" s="3">
        <v>1</v>
      </c>
      <c r="M306" s="3" t="str">
        <f t="shared" si="29"/>
        <v>Nice weather</v>
      </c>
      <c r="N306" s="3">
        <v>0.1</v>
      </c>
      <c r="O306">
        <f t="shared" si="30"/>
        <v>10</v>
      </c>
    </row>
    <row r="307" spans="1:15" ht="13.2" x14ac:dyDescent="0.25">
      <c r="A307" s="3">
        <v>306</v>
      </c>
      <c r="B307" s="4">
        <v>40557</v>
      </c>
      <c r="C307" s="3">
        <v>1</v>
      </c>
      <c r="D307" s="3">
        <f t="shared" si="26"/>
        <v>2011</v>
      </c>
      <c r="E307" s="3">
        <v>1</v>
      </c>
      <c r="F307" s="3">
        <v>5</v>
      </c>
      <c r="G307" s="3" t="str">
        <f t="shared" si="27"/>
        <v>Night</v>
      </c>
      <c r="H307" s="3" t="b">
        <v>0</v>
      </c>
      <c r="I307" s="3" t="str">
        <f t="shared" si="25"/>
        <v>Working day</v>
      </c>
      <c r="J307" s="3">
        <v>5</v>
      </c>
      <c r="K307" s="3" t="str">
        <f t="shared" si="28"/>
        <v>Saturday</v>
      </c>
      <c r="L307" s="3">
        <v>1</v>
      </c>
      <c r="M307" s="3" t="str">
        <f t="shared" si="29"/>
        <v>Nice weather</v>
      </c>
      <c r="N307" s="3">
        <v>0.1</v>
      </c>
      <c r="O307">
        <f t="shared" si="30"/>
        <v>10</v>
      </c>
    </row>
    <row r="308" spans="1:15" ht="13.2" x14ac:dyDescent="0.25">
      <c r="A308" s="3">
        <v>307</v>
      </c>
      <c r="B308" s="4">
        <v>40557</v>
      </c>
      <c r="C308" s="3">
        <v>1</v>
      </c>
      <c r="D308" s="3">
        <f t="shared" si="26"/>
        <v>2011</v>
      </c>
      <c r="E308" s="3">
        <v>1</v>
      </c>
      <c r="F308" s="3">
        <v>6</v>
      </c>
      <c r="G308" s="3" t="str">
        <f t="shared" si="27"/>
        <v>Morning</v>
      </c>
      <c r="H308" s="3" t="b">
        <v>0</v>
      </c>
      <c r="I308" s="3" t="str">
        <f t="shared" si="25"/>
        <v>Working day</v>
      </c>
      <c r="J308" s="3">
        <v>5</v>
      </c>
      <c r="K308" s="3" t="str">
        <f t="shared" si="28"/>
        <v>Saturday</v>
      </c>
      <c r="L308" s="3">
        <v>1</v>
      </c>
      <c r="M308" s="3" t="str">
        <f t="shared" si="29"/>
        <v>Nice weather</v>
      </c>
      <c r="N308" s="3">
        <v>0.1</v>
      </c>
      <c r="O308">
        <f t="shared" si="30"/>
        <v>10</v>
      </c>
    </row>
    <row r="309" spans="1:15" ht="13.2" x14ac:dyDescent="0.25">
      <c r="A309" s="3">
        <v>308</v>
      </c>
      <c r="B309" s="4">
        <v>40557</v>
      </c>
      <c r="C309" s="3">
        <v>1</v>
      </c>
      <c r="D309" s="3">
        <f t="shared" si="26"/>
        <v>2011</v>
      </c>
      <c r="E309" s="3">
        <v>1</v>
      </c>
      <c r="F309" s="3">
        <v>7</v>
      </c>
      <c r="G309" s="3" t="str">
        <f t="shared" si="27"/>
        <v>Morning</v>
      </c>
      <c r="H309" s="3" t="b">
        <v>0</v>
      </c>
      <c r="I309" s="3" t="str">
        <f t="shared" si="25"/>
        <v>Working day</v>
      </c>
      <c r="J309" s="3">
        <v>5</v>
      </c>
      <c r="K309" s="3" t="str">
        <f t="shared" si="28"/>
        <v>Saturday</v>
      </c>
      <c r="L309" s="3">
        <v>1</v>
      </c>
      <c r="M309" s="3" t="str">
        <f t="shared" si="29"/>
        <v>Nice weather</v>
      </c>
      <c r="N309" s="3">
        <v>0.1</v>
      </c>
      <c r="O309">
        <f t="shared" si="30"/>
        <v>10</v>
      </c>
    </row>
    <row r="310" spans="1:15" ht="13.2" x14ac:dyDescent="0.25">
      <c r="A310" s="3">
        <v>309</v>
      </c>
      <c r="B310" s="4">
        <v>40557</v>
      </c>
      <c r="C310" s="3">
        <v>1</v>
      </c>
      <c r="D310" s="3">
        <f t="shared" si="26"/>
        <v>2011</v>
      </c>
      <c r="E310" s="3">
        <v>1</v>
      </c>
      <c r="F310" s="3">
        <v>8</v>
      </c>
      <c r="G310" s="3" t="str">
        <f t="shared" si="27"/>
        <v>Morning</v>
      </c>
      <c r="H310" s="3" t="b">
        <v>0</v>
      </c>
      <c r="I310" s="3" t="str">
        <f t="shared" si="25"/>
        <v>Working day</v>
      </c>
      <c r="J310" s="3">
        <v>5</v>
      </c>
      <c r="K310" s="3" t="str">
        <f t="shared" si="28"/>
        <v>Saturday</v>
      </c>
      <c r="L310" s="3">
        <v>1</v>
      </c>
      <c r="M310" s="3" t="str">
        <f t="shared" si="29"/>
        <v>Nice weather</v>
      </c>
      <c r="N310" s="3">
        <v>0.12</v>
      </c>
      <c r="O310">
        <f t="shared" si="30"/>
        <v>12</v>
      </c>
    </row>
    <row r="311" spans="1:15" ht="13.2" x14ac:dyDescent="0.25">
      <c r="A311" s="3">
        <v>310</v>
      </c>
      <c r="B311" s="4">
        <v>40557</v>
      </c>
      <c r="C311" s="3">
        <v>1</v>
      </c>
      <c r="D311" s="3">
        <f t="shared" si="26"/>
        <v>2011</v>
      </c>
      <c r="E311" s="3">
        <v>1</v>
      </c>
      <c r="F311" s="3">
        <v>9</v>
      </c>
      <c r="G311" s="3" t="str">
        <f t="shared" si="27"/>
        <v>Morning</v>
      </c>
      <c r="H311" s="3" t="b">
        <v>0</v>
      </c>
      <c r="I311" s="3" t="str">
        <f t="shared" si="25"/>
        <v>Working day</v>
      </c>
      <c r="J311" s="3">
        <v>5</v>
      </c>
      <c r="K311" s="3" t="str">
        <f t="shared" si="28"/>
        <v>Saturday</v>
      </c>
      <c r="L311" s="3">
        <v>1</v>
      </c>
      <c r="M311" s="3" t="str">
        <f t="shared" si="29"/>
        <v>Nice weather</v>
      </c>
      <c r="N311" s="3">
        <v>0.14000000000000001</v>
      </c>
      <c r="O311">
        <f t="shared" si="30"/>
        <v>14.000000000000002</v>
      </c>
    </row>
    <row r="312" spans="1:15" ht="13.2" x14ac:dyDescent="0.25">
      <c r="A312" s="3">
        <v>311</v>
      </c>
      <c r="B312" s="4">
        <v>40557</v>
      </c>
      <c r="C312" s="3">
        <v>1</v>
      </c>
      <c r="D312" s="3">
        <f t="shared" si="26"/>
        <v>2011</v>
      </c>
      <c r="E312" s="3">
        <v>1</v>
      </c>
      <c r="F312" s="3">
        <v>10</v>
      </c>
      <c r="G312" s="3" t="str">
        <f t="shared" si="27"/>
        <v>Morning</v>
      </c>
      <c r="H312" s="3" t="b">
        <v>0</v>
      </c>
      <c r="I312" s="3" t="str">
        <f t="shared" si="25"/>
        <v>Working day</v>
      </c>
      <c r="J312" s="3">
        <v>5</v>
      </c>
      <c r="K312" s="3" t="str">
        <f t="shared" si="28"/>
        <v>Saturday</v>
      </c>
      <c r="L312" s="3">
        <v>1</v>
      </c>
      <c r="M312" s="3" t="str">
        <f t="shared" si="29"/>
        <v>Nice weather</v>
      </c>
      <c r="N312" s="3">
        <v>0.18</v>
      </c>
      <c r="O312">
        <f t="shared" si="30"/>
        <v>18</v>
      </c>
    </row>
    <row r="313" spans="1:15" ht="13.2" x14ac:dyDescent="0.25">
      <c r="A313" s="3">
        <v>312</v>
      </c>
      <c r="B313" s="4">
        <v>40557</v>
      </c>
      <c r="C313" s="3">
        <v>1</v>
      </c>
      <c r="D313" s="3">
        <f t="shared" si="26"/>
        <v>2011</v>
      </c>
      <c r="E313" s="3">
        <v>1</v>
      </c>
      <c r="F313" s="3">
        <v>11</v>
      </c>
      <c r="G313" s="3" t="str">
        <f t="shared" si="27"/>
        <v>Morning</v>
      </c>
      <c r="H313" s="3" t="b">
        <v>0</v>
      </c>
      <c r="I313" s="3" t="str">
        <f t="shared" si="25"/>
        <v>Working day</v>
      </c>
      <c r="J313" s="3">
        <v>5</v>
      </c>
      <c r="K313" s="3" t="str">
        <f t="shared" si="28"/>
        <v>Saturday</v>
      </c>
      <c r="L313" s="3">
        <v>1</v>
      </c>
      <c r="M313" s="3" t="str">
        <f t="shared" si="29"/>
        <v>Nice weather</v>
      </c>
      <c r="N313" s="3">
        <v>0.18</v>
      </c>
      <c r="O313">
        <f t="shared" si="30"/>
        <v>18</v>
      </c>
    </row>
    <row r="314" spans="1:15" ht="13.2" x14ac:dyDescent="0.25">
      <c r="A314" s="3">
        <v>313</v>
      </c>
      <c r="B314" s="4">
        <v>40557</v>
      </c>
      <c r="C314" s="3">
        <v>1</v>
      </c>
      <c r="D314" s="3">
        <f t="shared" si="26"/>
        <v>2011</v>
      </c>
      <c r="E314" s="3">
        <v>1</v>
      </c>
      <c r="F314" s="3">
        <v>12</v>
      </c>
      <c r="G314" s="3" t="str">
        <f t="shared" si="27"/>
        <v>Afternoon</v>
      </c>
      <c r="H314" s="3" t="b">
        <v>0</v>
      </c>
      <c r="I314" s="3" t="str">
        <f t="shared" si="25"/>
        <v>Working day</v>
      </c>
      <c r="J314" s="3">
        <v>5</v>
      </c>
      <c r="K314" s="3" t="str">
        <f t="shared" si="28"/>
        <v>Saturday</v>
      </c>
      <c r="L314" s="3">
        <v>1</v>
      </c>
      <c r="M314" s="3" t="str">
        <f t="shared" si="29"/>
        <v>Nice weather</v>
      </c>
      <c r="N314" s="3">
        <v>0.2</v>
      </c>
      <c r="O314">
        <f t="shared" si="30"/>
        <v>20</v>
      </c>
    </row>
    <row r="315" spans="1:15" ht="13.2" x14ac:dyDescent="0.25">
      <c r="A315" s="3">
        <v>314</v>
      </c>
      <c r="B315" s="4">
        <v>40557</v>
      </c>
      <c r="C315" s="3">
        <v>1</v>
      </c>
      <c r="D315" s="3">
        <f t="shared" si="26"/>
        <v>2011</v>
      </c>
      <c r="E315" s="3">
        <v>1</v>
      </c>
      <c r="F315" s="3">
        <v>13</v>
      </c>
      <c r="G315" s="3" t="str">
        <f t="shared" si="27"/>
        <v>Afternoon</v>
      </c>
      <c r="H315" s="3" t="b">
        <v>0</v>
      </c>
      <c r="I315" s="3" t="str">
        <f t="shared" si="25"/>
        <v>Working day</v>
      </c>
      <c r="J315" s="3">
        <v>5</v>
      </c>
      <c r="K315" s="3" t="str">
        <f t="shared" si="28"/>
        <v>Saturday</v>
      </c>
      <c r="L315" s="3">
        <v>1</v>
      </c>
      <c r="M315" s="3" t="str">
        <f t="shared" si="29"/>
        <v>Nice weather</v>
      </c>
      <c r="N315" s="3">
        <v>0.22</v>
      </c>
      <c r="O315">
        <f t="shared" si="30"/>
        <v>22</v>
      </c>
    </row>
    <row r="316" spans="1:15" ht="13.2" x14ac:dyDescent="0.25">
      <c r="A316" s="3">
        <v>315</v>
      </c>
      <c r="B316" s="4">
        <v>40557</v>
      </c>
      <c r="C316" s="3">
        <v>1</v>
      </c>
      <c r="D316" s="3">
        <f t="shared" si="26"/>
        <v>2011</v>
      </c>
      <c r="E316" s="3">
        <v>1</v>
      </c>
      <c r="F316" s="3">
        <v>14</v>
      </c>
      <c r="G316" s="3" t="str">
        <f t="shared" si="27"/>
        <v>Afternoon</v>
      </c>
      <c r="H316" s="3" t="b">
        <v>0</v>
      </c>
      <c r="I316" s="3" t="str">
        <f t="shared" si="25"/>
        <v>Working day</v>
      </c>
      <c r="J316" s="3">
        <v>5</v>
      </c>
      <c r="K316" s="3" t="str">
        <f t="shared" si="28"/>
        <v>Saturday</v>
      </c>
      <c r="L316" s="3">
        <v>1</v>
      </c>
      <c r="M316" s="3" t="str">
        <f t="shared" si="29"/>
        <v>Nice weather</v>
      </c>
      <c r="N316" s="3">
        <v>0.22</v>
      </c>
      <c r="O316">
        <f t="shared" si="30"/>
        <v>22</v>
      </c>
    </row>
    <row r="317" spans="1:15" ht="13.2" x14ac:dyDescent="0.25">
      <c r="A317" s="3">
        <v>316</v>
      </c>
      <c r="B317" s="4">
        <v>40557</v>
      </c>
      <c r="C317" s="3">
        <v>1</v>
      </c>
      <c r="D317" s="3">
        <f t="shared" si="26"/>
        <v>2011</v>
      </c>
      <c r="E317" s="3">
        <v>1</v>
      </c>
      <c r="F317" s="3">
        <v>15</v>
      </c>
      <c r="G317" s="3" t="str">
        <f t="shared" si="27"/>
        <v>Afternoon</v>
      </c>
      <c r="H317" s="3" t="b">
        <v>0</v>
      </c>
      <c r="I317" s="3" t="str">
        <f t="shared" si="25"/>
        <v>Working day</v>
      </c>
      <c r="J317" s="3">
        <v>5</v>
      </c>
      <c r="K317" s="3" t="str">
        <f t="shared" si="28"/>
        <v>Saturday</v>
      </c>
      <c r="L317" s="3">
        <v>1</v>
      </c>
      <c r="M317" s="3" t="str">
        <f t="shared" si="29"/>
        <v>Nice weather</v>
      </c>
      <c r="N317" s="3">
        <v>0.24</v>
      </c>
      <c r="O317">
        <f t="shared" si="30"/>
        <v>24</v>
      </c>
    </row>
    <row r="318" spans="1:15" ht="13.2" x14ac:dyDescent="0.25">
      <c r="A318" s="3">
        <v>317</v>
      </c>
      <c r="B318" s="4">
        <v>40557</v>
      </c>
      <c r="C318" s="3">
        <v>1</v>
      </c>
      <c r="D318" s="3">
        <f t="shared" si="26"/>
        <v>2011</v>
      </c>
      <c r="E318" s="3">
        <v>1</v>
      </c>
      <c r="F318" s="3">
        <v>16</v>
      </c>
      <c r="G318" s="3" t="str">
        <f t="shared" si="27"/>
        <v>Afternoon</v>
      </c>
      <c r="H318" s="3" t="b">
        <v>0</v>
      </c>
      <c r="I318" s="3" t="str">
        <f t="shared" si="25"/>
        <v>Working day</v>
      </c>
      <c r="J318" s="3">
        <v>5</v>
      </c>
      <c r="K318" s="3" t="str">
        <f t="shared" si="28"/>
        <v>Saturday</v>
      </c>
      <c r="L318" s="3">
        <v>1</v>
      </c>
      <c r="M318" s="3" t="str">
        <f t="shared" si="29"/>
        <v>Nice weather</v>
      </c>
      <c r="N318" s="3">
        <v>0.22</v>
      </c>
      <c r="O318">
        <f t="shared" si="30"/>
        <v>22</v>
      </c>
    </row>
    <row r="319" spans="1:15" ht="13.2" x14ac:dyDescent="0.25">
      <c r="A319" s="3">
        <v>318</v>
      </c>
      <c r="B319" s="4">
        <v>40557</v>
      </c>
      <c r="C319" s="3">
        <v>1</v>
      </c>
      <c r="D319" s="3">
        <f t="shared" si="26"/>
        <v>2011</v>
      </c>
      <c r="E319" s="3">
        <v>1</v>
      </c>
      <c r="F319" s="3">
        <v>17</v>
      </c>
      <c r="G319" s="3" t="str">
        <f t="shared" si="27"/>
        <v>Afternoon</v>
      </c>
      <c r="H319" s="3" t="b">
        <v>0</v>
      </c>
      <c r="I319" s="3" t="str">
        <f t="shared" si="25"/>
        <v>Working day</v>
      </c>
      <c r="J319" s="3">
        <v>5</v>
      </c>
      <c r="K319" s="3" t="str">
        <f t="shared" si="28"/>
        <v>Saturday</v>
      </c>
      <c r="L319" s="3">
        <v>1</v>
      </c>
      <c r="M319" s="3" t="str">
        <f t="shared" si="29"/>
        <v>Nice weather</v>
      </c>
      <c r="N319" s="3">
        <v>0.22</v>
      </c>
      <c r="O319">
        <f t="shared" si="30"/>
        <v>22</v>
      </c>
    </row>
    <row r="320" spans="1:15" ht="13.2" x14ac:dyDescent="0.25">
      <c r="A320" s="3">
        <v>319</v>
      </c>
      <c r="B320" s="4">
        <v>40557</v>
      </c>
      <c r="C320" s="3">
        <v>1</v>
      </c>
      <c r="D320" s="3">
        <f t="shared" si="26"/>
        <v>2011</v>
      </c>
      <c r="E320" s="3">
        <v>1</v>
      </c>
      <c r="F320" s="3">
        <v>18</v>
      </c>
      <c r="G320" s="3" t="str">
        <f t="shared" si="27"/>
        <v>Evening</v>
      </c>
      <c r="H320" s="3" t="b">
        <v>0</v>
      </c>
      <c r="I320" s="3" t="str">
        <f t="shared" si="25"/>
        <v>Working day</v>
      </c>
      <c r="J320" s="3">
        <v>5</v>
      </c>
      <c r="K320" s="3" t="str">
        <f t="shared" si="28"/>
        <v>Saturday</v>
      </c>
      <c r="L320" s="3">
        <v>1</v>
      </c>
      <c r="M320" s="3" t="str">
        <f t="shared" si="29"/>
        <v>Nice weather</v>
      </c>
      <c r="N320" s="3">
        <v>0.2</v>
      </c>
      <c r="O320">
        <f t="shared" si="30"/>
        <v>20</v>
      </c>
    </row>
    <row r="321" spans="1:15" ht="13.2" x14ac:dyDescent="0.25">
      <c r="A321" s="3">
        <v>320</v>
      </c>
      <c r="B321" s="4">
        <v>40557</v>
      </c>
      <c r="C321" s="3">
        <v>1</v>
      </c>
      <c r="D321" s="3">
        <f t="shared" si="26"/>
        <v>2011</v>
      </c>
      <c r="E321" s="3">
        <v>1</v>
      </c>
      <c r="F321" s="3">
        <v>19</v>
      </c>
      <c r="G321" s="3" t="str">
        <f t="shared" si="27"/>
        <v>Evening</v>
      </c>
      <c r="H321" s="3" t="b">
        <v>0</v>
      </c>
      <c r="I321" s="3" t="str">
        <f t="shared" si="25"/>
        <v>Working day</v>
      </c>
      <c r="J321" s="3">
        <v>5</v>
      </c>
      <c r="K321" s="3" t="str">
        <f t="shared" si="28"/>
        <v>Saturday</v>
      </c>
      <c r="L321" s="3">
        <v>1</v>
      </c>
      <c r="M321" s="3" t="str">
        <f t="shared" si="29"/>
        <v>Nice weather</v>
      </c>
      <c r="N321" s="3">
        <v>0.16</v>
      </c>
      <c r="O321">
        <f t="shared" si="30"/>
        <v>16</v>
      </c>
    </row>
    <row r="322" spans="1:15" ht="13.2" x14ac:dyDescent="0.25">
      <c r="A322" s="3">
        <v>321</v>
      </c>
      <c r="B322" s="4">
        <v>40557</v>
      </c>
      <c r="C322" s="3">
        <v>1</v>
      </c>
      <c r="D322" s="3">
        <f t="shared" si="26"/>
        <v>2011</v>
      </c>
      <c r="E322" s="3">
        <v>1</v>
      </c>
      <c r="F322" s="3">
        <v>20</v>
      </c>
      <c r="G322" s="3" t="str">
        <f t="shared" si="27"/>
        <v>Evening</v>
      </c>
      <c r="H322" s="3" t="b">
        <v>0</v>
      </c>
      <c r="I322" s="3" t="str">
        <f t="shared" ref="I322:I385" si="31">IF(H322=TRUE,"Holiday","Working day")</f>
        <v>Working day</v>
      </c>
      <c r="J322" s="3">
        <v>5</v>
      </c>
      <c r="K322" s="3" t="str">
        <f t="shared" si="28"/>
        <v>Saturday</v>
      </c>
      <c r="L322" s="3">
        <v>1</v>
      </c>
      <c r="M322" s="3" t="str">
        <f t="shared" si="29"/>
        <v>Nice weather</v>
      </c>
      <c r="N322" s="3">
        <v>0.18</v>
      </c>
      <c r="O322">
        <f t="shared" si="30"/>
        <v>18</v>
      </c>
    </row>
    <row r="323" spans="1:15" ht="13.2" x14ac:dyDescent="0.25">
      <c r="A323" s="3">
        <v>322</v>
      </c>
      <c r="B323" s="4">
        <v>40557</v>
      </c>
      <c r="C323" s="3">
        <v>1</v>
      </c>
      <c r="D323" s="3">
        <f t="shared" ref="D323:D386" si="32">YEAR(B323)</f>
        <v>2011</v>
      </c>
      <c r="E323" s="3">
        <v>1</v>
      </c>
      <c r="F323" s="3">
        <v>21</v>
      </c>
      <c r="G323" s="3" t="str">
        <f t="shared" ref="G323:G386" si="33">IF(AND(F323&gt;=0,F323&lt;6),"Night",IF(AND(F323&gt;=6,F323&lt;12),"Morning",IF(AND(F323&lt;18),"Afternoon","Evening")))</f>
        <v>Evening</v>
      </c>
      <c r="H323" s="3" t="b">
        <v>0</v>
      </c>
      <c r="I323" s="3" t="str">
        <f t="shared" si="31"/>
        <v>Working day</v>
      </c>
      <c r="J323" s="3">
        <v>5</v>
      </c>
      <c r="K323" s="3" t="str">
        <f t="shared" ref="K323:K386" si="34">CHOOSE(J323+1,"Monday","Tuesday","Wednesday","Thursday","Friday","Saturday","Sunday")</f>
        <v>Saturday</v>
      </c>
      <c r="L323" s="3">
        <v>1</v>
      </c>
      <c r="M323" s="3" t="str">
        <f t="shared" ref="M323:M386" si="35">IF(L323=1,"Nice weather", IF(L323=2,"Mild Cloudy", IF(L323=3,"Dark Cloudy", IF(L323=4,"Thunderstrome","unknown"))))</f>
        <v>Nice weather</v>
      </c>
      <c r="N323" s="3">
        <v>0.16</v>
      </c>
      <c r="O323">
        <f t="shared" ref="O323:O386" si="36">N323*100</f>
        <v>16</v>
      </c>
    </row>
    <row r="324" spans="1:15" ht="13.2" x14ac:dyDescent="0.25">
      <c r="A324" s="3">
        <v>323</v>
      </c>
      <c r="B324" s="4">
        <v>40557</v>
      </c>
      <c r="C324" s="3">
        <v>1</v>
      </c>
      <c r="D324" s="3">
        <f t="shared" si="32"/>
        <v>2011</v>
      </c>
      <c r="E324" s="3">
        <v>1</v>
      </c>
      <c r="F324" s="3">
        <v>22</v>
      </c>
      <c r="G324" s="3" t="str">
        <f t="shared" si="33"/>
        <v>Evening</v>
      </c>
      <c r="H324" s="3" t="b">
        <v>0</v>
      </c>
      <c r="I324" s="3" t="str">
        <f t="shared" si="31"/>
        <v>Working day</v>
      </c>
      <c r="J324" s="3">
        <v>5</v>
      </c>
      <c r="K324" s="3" t="str">
        <f t="shared" si="34"/>
        <v>Saturday</v>
      </c>
      <c r="L324" s="3">
        <v>2</v>
      </c>
      <c r="M324" s="3" t="str">
        <f t="shared" si="35"/>
        <v>Mild Cloudy</v>
      </c>
      <c r="N324" s="3">
        <v>0.16</v>
      </c>
      <c r="O324">
        <f t="shared" si="36"/>
        <v>16</v>
      </c>
    </row>
    <row r="325" spans="1:15" ht="13.2" x14ac:dyDescent="0.25">
      <c r="A325" s="3">
        <v>324</v>
      </c>
      <c r="B325" s="4">
        <v>40557</v>
      </c>
      <c r="C325" s="3">
        <v>1</v>
      </c>
      <c r="D325" s="3">
        <f t="shared" si="32"/>
        <v>2011</v>
      </c>
      <c r="E325" s="3">
        <v>1</v>
      </c>
      <c r="F325" s="3">
        <v>23</v>
      </c>
      <c r="G325" s="3" t="str">
        <f t="shared" si="33"/>
        <v>Evening</v>
      </c>
      <c r="H325" s="3" t="b">
        <v>0</v>
      </c>
      <c r="I325" s="3" t="str">
        <f t="shared" si="31"/>
        <v>Working day</v>
      </c>
      <c r="J325" s="3">
        <v>5</v>
      </c>
      <c r="K325" s="3" t="str">
        <f t="shared" si="34"/>
        <v>Saturday</v>
      </c>
      <c r="L325" s="3">
        <v>2</v>
      </c>
      <c r="M325" s="3" t="str">
        <f t="shared" si="35"/>
        <v>Mild Cloudy</v>
      </c>
      <c r="N325" s="3">
        <v>0.18</v>
      </c>
      <c r="O325">
        <f t="shared" si="36"/>
        <v>18</v>
      </c>
    </row>
    <row r="326" spans="1:15" ht="13.2" x14ac:dyDescent="0.25">
      <c r="A326" s="3">
        <v>325</v>
      </c>
      <c r="B326" s="4">
        <v>40558</v>
      </c>
      <c r="C326" s="3">
        <v>1</v>
      </c>
      <c r="D326" s="3">
        <f t="shared" si="32"/>
        <v>2011</v>
      </c>
      <c r="E326" s="3">
        <v>1</v>
      </c>
      <c r="F326" s="3">
        <v>0</v>
      </c>
      <c r="G326" s="3" t="str">
        <f t="shared" si="33"/>
        <v>Night</v>
      </c>
      <c r="H326" s="3" t="b">
        <v>0</v>
      </c>
      <c r="I326" s="3" t="str">
        <f t="shared" si="31"/>
        <v>Working day</v>
      </c>
      <c r="J326" s="3">
        <v>6</v>
      </c>
      <c r="K326" s="3" t="str">
        <f t="shared" si="34"/>
        <v>Sunday</v>
      </c>
      <c r="L326" s="3">
        <v>1</v>
      </c>
      <c r="M326" s="3" t="str">
        <f t="shared" si="35"/>
        <v>Nice weather</v>
      </c>
      <c r="N326" s="3">
        <v>0.18</v>
      </c>
      <c r="O326">
        <f t="shared" si="36"/>
        <v>18</v>
      </c>
    </row>
    <row r="327" spans="1:15" ht="13.2" x14ac:dyDescent="0.25">
      <c r="A327" s="3">
        <v>326</v>
      </c>
      <c r="B327" s="4">
        <v>40558</v>
      </c>
      <c r="C327" s="3">
        <v>1</v>
      </c>
      <c r="D327" s="3">
        <f t="shared" si="32"/>
        <v>2011</v>
      </c>
      <c r="E327" s="3">
        <v>1</v>
      </c>
      <c r="F327" s="3">
        <v>1</v>
      </c>
      <c r="G327" s="3" t="str">
        <f t="shared" si="33"/>
        <v>Night</v>
      </c>
      <c r="H327" s="3" t="b">
        <v>0</v>
      </c>
      <c r="I327" s="3" t="str">
        <f t="shared" si="31"/>
        <v>Working day</v>
      </c>
      <c r="J327" s="3">
        <v>6</v>
      </c>
      <c r="K327" s="3" t="str">
        <f t="shared" si="34"/>
        <v>Sunday</v>
      </c>
      <c r="L327" s="3">
        <v>2</v>
      </c>
      <c r="M327" s="3" t="str">
        <f t="shared" si="35"/>
        <v>Mild Cloudy</v>
      </c>
      <c r="N327" s="3">
        <v>0.16</v>
      </c>
      <c r="O327">
        <f t="shared" si="36"/>
        <v>16</v>
      </c>
    </row>
    <row r="328" spans="1:15" ht="13.2" x14ac:dyDescent="0.25">
      <c r="A328" s="3">
        <v>327</v>
      </c>
      <c r="B328" s="4">
        <v>40558</v>
      </c>
      <c r="C328" s="3">
        <v>1</v>
      </c>
      <c r="D328" s="3">
        <f t="shared" si="32"/>
        <v>2011</v>
      </c>
      <c r="E328" s="3">
        <v>1</v>
      </c>
      <c r="F328" s="3">
        <v>2</v>
      </c>
      <c r="G328" s="3" t="str">
        <f t="shared" si="33"/>
        <v>Night</v>
      </c>
      <c r="H328" s="3" t="b">
        <v>0</v>
      </c>
      <c r="I328" s="3" t="str">
        <f t="shared" si="31"/>
        <v>Working day</v>
      </c>
      <c r="J328" s="3">
        <v>6</v>
      </c>
      <c r="K328" s="3" t="str">
        <f t="shared" si="34"/>
        <v>Sunday</v>
      </c>
      <c r="L328" s="3">
        <v>2</v>
      </c>
      <c r="M328" s="3" t="str">
        <f t="shared" si="35"/>
        <v>Mild Cloudy</v>
      </c>
      <c r="N328" s="3">
        <v>0.16</v>
      </c>
      <c r="O328">
        <f t="shared" si="36"/>
        <v>16</v>
      </c>
    </row>
    <row r="329" spans="1:15" ht="13.2" x14ac:dyDescent="0.25">
      <c r="A329" s="3">
        <v>328</v>
      </c>
      <c r="B329" s="4">
        <v>40558</v>
      </c>
      <c r="C329" s="3">
        <v>1</v>
      </c>
      <c r="D329" s="3">
        <f t="shared" si="32"/>
        <v>2011</v>
      </c>
      <c r="E329" s="3">
        <v>1</v>
      </c>
      <c r="F329" s="3">
        <v>3</v>
      </c>
      <c r="G329" s="3" t="str">
        <f t="shared" si="33"/>
        <v>Night</v>
      </c>
      <c r="H329" s="3" t="b">
        <v>0</v>
      </c>
      <c r="I329" s="3" t="str">
        <f t="shared" si="31"/>
        <v>Working day</v>
      </c>
      <c r="J329" s="3">
        <v>6</v>
      </c>
      <c r="K329" s="3" t="str">
        <f t="shared" si="34"/>
        <v>Sunday</v>
      </c>
      <c r="L329" s="3">
        <v>2</v>
      </c>
      <c r="M329" s="3" t="str">
        <f t="shared" si="35"/>
        <v>Mild Cloudy</v>
      </c>
      <c r="N329" s="3">
        <v>0.16</v>
      </c>
      <c r="O329">
        <f t="shared" si="36"/>
        <v>16</v>
      </c>
    </row>
    <row r="330" spans="1:15" ht="13.2" x14ac:dyDescent="0.25">
      <c r="A330" s="3">
        <v>329</v>
      </c>
      <c r="B330" s="4">
        <v>40558</v>
      </c>
      <c r="C330" s="3">
        <v>1</v>
      </c>
      <c r="D330" s="3">
        <f t="shared" si="32"/>
        <v>2011</v>
      </c>
      <c r="E330" s="3">
        <v>1</v>
      </c>
      <c r="F330" s="3">
        <v>4</v>
      </c>
      <c r="G330" s="3" t="str">
        <f t="shared" si="33"/>
        <v>Night</v>
      </c>
      <c r="H330" s="3" t="b">
        <v>0</v>
      </c>
      <c r="I330" s="3" t="str">
        <f t="shared" si="31"/>
        <v>Working day</v>
      </c>
      <c r="J330" s="3">
        <v>6</v>
      </c>
      <c r="K330" s="3" t="str">
        <f t="shared" si="34"/>
        <v>Sunday</v>
      </c>
      <c r="L330" s="3">
        <v>2</v>
      </c>
      <c r="M330" s="3" t="str">
        <f t="shared" si="35"/>
        <v>Mild Cloudy</v>
      </c>
      <c r="N330" s="3">
        <v>0.16</v>
      </c>
      <c r="O330">
        <f t="shared" si="36"/>
        <v>16</v>
      </c>
    </row>
    <row r="331" spans="1:15" ht="13.2" x14ac:dyDescent="0.25">
      <c r="A331" s="3">
        <v>330</v>
      </c>
      <c r="B331" s="4">
        <v>40558</v>
      </c>
      <c r="C331" s="3">
        <v>1</v>
      </c>
      <c r="D331" s="3">
        <f t="shared" si="32"/>
        <v>2011</v>
      </c>
      <c r="E331" s="3">
        <v>1</v>
      </c>
      <c r="F331" s="3">
        <v>5</v>
      </c>
      <c r="G331" s="3" t="str">
        <f t="shared" si="33"/>
        <v>Night</v>
      </c>
      <c r="H331" s="3" t="b">
        <v>0</v>
      </c>
      <c r="I331" s="3" t="str">
        <f t="shared" si="31"/>
        <v>Working day</v>
      </c>
      <c r="J331" s="3">
        <v>6</v>
      </c>
      <c r="K331" s="3" t="str">
        <f t="shared" si="34"/>
        <v>Sunday</v>
      </c>
      <c r="L331" s="3">
        <v>1</v>
      </c>
      <c r="M331" s="3" t="str">
        <f t="shared" si="35"/>
        <v>Nice weather</v>
      </c>
      <c r="N331" s="3">
        <v>0.16</v>
      </c>
      <c r="O331">
        <f t="shared" si="36"/>
        <v>16</v>
      </c>
    </row>
    <row r="332" spans="1:15" ht="13.2" x14ac:dyDescent="0.25">
      <c r="A332" s="3">
        <v>331</v>
      </c>
      <c r="B332" s="4">
        <v>40558</v>
      </c>
      <c r="C332" s="3">
        <v>1</v>
      </c>
      <c r="D332" s="3">
        <f t="shared" si="32"/>
        <v>2011</v>
      </c>
      <c r="E332" s="3">
        <v>1</v>
      </c>
      <c r="F332" s="3">
        <v>6</v>
      </c>
      <c r="G332" s="3" t="str">
        <f t="shared" si="33"/>
        <v>Morning</v>
      </c>
      <c r="H332" s="3" t="b">
        <v>0</v>
      </c>
      <c r="I332" s="3" t="str">
        <f t="shared" si="31"/>
        <v>Working day</v>
      </c>
      <c r="J332" s="3">
        <v>6</v>
      </c>
      <c r="K332" s="3" t="str">
        <f t="shared" si="34"/>
        <v>Sunday</v>
      </c>
      <c r="L332" s="3">
        <v>1</v>
      </c>
      <c r="M332" s="3" t="str">
        <f t="shared" si="35"/>
        <v>Nice weather</v>
      </c>
      <c r="N332" s="3">
        <v>0.14000000000000001</v>
      </c>
      <c r="O332">
        <f t="shared" si="36"/>
        <v>14.000000000000002</v>
      </c>
    </row>
    <row r="333" spans="1:15" ht="13.2" x14ac:dyDescent="0.25">
      <c r="A333" s="3">
        <v>332</v>
      </c>
      <c r="B333" s="4">
        <v>40558</v>
      </c>
      <c r="C333" s="3">
        <v>1</v>
      </c>
      <c r="D333" s="3">
        <f t="shared" si="32"/>
        <v>2011</v>
      </c>
      <c r="E333" s="3">
        <v>1</v>
      </c>
      <c r="F333" s="3">
        <v>7</v>
      </c>
      <c r="G333" s="3" t="str">
        <f t="shared" si="33"/>
        <v>Morning</v>
      </c>
      <c r="H333" s="3" t="b">
        <v>0</v>
      </c>
      <c r="I333" s="3" t="str">
        <f t="shared" si="31"/>
        <v>Working day</v>
      </c>
      <c r="J333" s="3">
        <v>6</v>
      </c>
      <c r="K333" s="3" t="str">
        <f t="shared" si="34"/>
        <v>Sunday</v>
      </c>
      <c r="L333" s="3">
        <v>1</v>
      </c>
      <c r="M333" s="3" t="str">
        <f t="shared" si="35"/>
        <v>Nice weather</v>
      </c>
      <c r="N333" s="3">
        <v>0.14000000000000001</v>
      </c>
      <c r="O333">
        <f t="shared" si="36"/>
        <v>14.000000000000002</v>
      </c>
    </row>
    <row r="334" spans="1:15" ht="13.2" x14ac:dyDescent="0.25">
      <c r="A334" s="3">
        <v>333</v>
      </c>
      <c r="B334" s="4">
        <v>40558</v>
      </c>
      <c r="C334" s="3">
        <v>1</v>
      </c>
      <c r="D334" s="3">
        <f t="shared" si="32"/>
        <v>2011</v>
      </c>
      <c r="E334" s="3">
        <v>1</v>
      </c>
      <c r="F334" s="3">
        <v>8</v>
      </c>
      <c r="G334" s="3" t="str">
        <f t="shared" si="33"/>
        <v>Morning</v>
      </c>
      <c r="H334" s="3" t="b">
        <v>0</v>
      </c>
      <c r="I334" s="3" t="str">
        <f t="shared" si="31"/>
        <v>Working day</v>
      </c>
      <c r="J334" s="3">
        <v>6</v>
      </c>
      <c r="K334" s="3" t="str">
        <f t="shared" si="34"/>
        <v>Sunday</v>
      </c>
      <c r="L334" s="3">
        <v>1</v>
      </c>
      <c r="M334" s="3" t="str">
        <f t="shared" si="35"/>
        <v>Nice weather</v>
      </c>
      <c r="N334" s="3">
        <v>0.14000000000000001</v>
      </c>
      <c r="O334">
        <f t="shared" si="36"/>
        <v>14.000000000000002</v>
      </c>
    </row>
    <row r="335" spans="1:15" ht="13.2" x14ac:dyDescent="0.25">
      <c r="A335" s="3">
        <v>334</v>
      </c>
      <c r="B335" s="4">
        <v>40558</v>
      </c>
      <c r="C335" s="3">
        <v>1</v>
      </c>
      <c r="D335" s="3">
        <f t="shared" si="32"/>
        <v>2011</v>
      </c>
      <c r="E335" s="3">
        <v>1</v>
      </c>
      <c r="F335" s="3">
        <v>9</v>
      </c>
      <c r="G335" s="3" t="str">
        <f t="shared" si="33"/>
        <v>Morning</v>
      </c>
      <c r="H335" s="3" t="b">
        <v>0</v>
      </c>
      <c r="I335" s="3" t="str">
        <f t="shared" si="31"/>
        <v>Working day</v>
      </c>
      <c r="J335" s="3">
        <v>6</v>
      </c>
      <c r="K335" s="3" t="str">
        <f t="shared" si="34"/>
        <v>Sunday</v>
      </c>
      <c r="L335" s="3">
        <v>1</v>
      </c>
      <c r="M335" s="3" t="str">
        <f t="shared" si="35"/>
        <v>Nice weather</v>
      </c>
      <c r="N335" s="3">
        <v>0.16</v>
      </c>
      <c r="O335">
        <f t="shared" si="36"/>
        <v>16</v>
      </c>
    </row>
    <row r="336" spans="1:15" ht="13.2" x14ac:dyDescent="0.25">
      <c r="A336" s="3">
        <v>335</v>
      </c>
      <c r="B336" s="4">
        <v>40558</v>
      </c>
      <c r="C336" s="3">
        <v>1</v>
      </c>
      <c r="D336" s="3">
        <f t="shared" si="32"/>
        <v>2011</v>
      </c>
      <c r="E336" s="3">
        <v>1</v>
      </c>
      <c r="F336" s="3">
        <v>10</v>
      </c>
      <c r="G336" s="3" t="str">
        <f t="shared" si="33"/>
        <v>Morning</v>
      </c>
      <c r="H336" s="3" t="b">
        <v>0</v>
      </c>
      <c r="I336" s="3" t="str">
        <f t="shared" si="31"/>
        <v>Working day</v>
      </c>
      <c r="J336" s="3">
        <v>6</v>
      </c>
      <c r="K336" s="3" t="str">
        <f t="shared" si="34"/>
        <v>Sunday</v>
      </c>
      <c r="L336" s="3">
        <v>1</v>
      </c>
      <c r="M336" s="3" t="str">
        <f t="shared" si="35"/>
        <v>Nice weather</v>
      </c>
      <c r="N336" s="3">
        <v>0.18</v>
      </c>
      <c r="O336">
        <f t="shared" si="36"/>
        <v>18</v>
      </c>
    </row>
    <row r="337" spans="1:15" ht="13.2" x14ac:dyDescent="0.25">
      <c r="A337" s="3">
        <v>336</v>
      </c>
      <c r="B337" s="4">
        <v>40558</v>
      </c>
      <c r="C337" s="3">
        <v>1</v>
      </c>
      <c r="D337" s="3">
        <f t="shared" si="32"/>
        <v>2011</v>
      </c>
      <c r="E337" s="3">
        <v>1</v>
      </c>
      <c r="F337" s="3">
        <v>11</v>
      </c>
      <c r="G337" s="3" t="str">
        <f t="shared" si="33"/>
        <v>Morning</v>
      </c>
      <c r="H337" s="3" t="b">
        <v>0</v>
      </c>
      <c r="I337" s="3" t="str">
        <f t="shared" si="31"/>
        <v>Working day</v>
      </c>
      <c r="J337" s="3">
        <v>6</v>
      </c>
      <c r="K337" s="3" t="str">
        <f t="shared" si="34"/>
        <v>Sunday</v>
      </c>
      <c r="L337" s="3">
        <v>1</v>
      </c>
      <c r="M337" s="3" t="str">
        <f t="shared" si="35"/>
        <v>Nice weather</v>
      </c>
      <c r="N337" s="3">
        <v>0.2</v>
      </c>
      <c r="O337">
        <f t="shared" si="36"/>
        <v>20</v>
      </c>
    </row>
    <row r="338" spans="1:15" ht="13.2" x14ac:dyDescent="0.25">
      <c r="A338" s="3">
        <v>337</v>
      </c>
      <c r="B338" s="4">
        <v>40558</v>
      </c>
      <c r="C338" s="3">
        <v>1</v>
      </c>
      <c r="D338" s="3">
        <f t="shared" si="32"/>
        <v>2011</v>
      </c>
      <c r="E338" s="3">
        <v>1</v>
      </c>
      <c r="F338" s="3">
        <v>12</v>
      </c>
      <c r="G338" s="3" t="str">
        <f t="shared" si="33"/>
        <v>Afternoon</v>
      </c>
      <c r="H338" s="3" t="b">
        <v>0</v>
      </c>
      <c r="I338" s="3" t="str">
        <f t="shared" si="31"/>
        <v>Working day</v>
      </c>
      <c r="J338" s="3">
        <v>6</v>
      </c>
      <c r="K338" s="3" t="str">
        <f t="shared" si="34"/>
        <v>Sunday</v>
      </c>
      <c r="L338" s="3">
        <v>1</v>
      </c>
      <c r="M338" s="3" t="str">
        <f t="shared" si="35"/>
        <v>Nice weather</v>
      </c>
      <c r="N338" s="3">
        <v>0.24</v>
      </c>
      <c r="O338">
        <f t="shared" si="36"/>
        <v>24</v>
      </c>
    </row>
    <row r="339" spans="1:15" ht="13.2" x14ac:dyDescent="0.25">
      <c r="A339" s="3">
        <v>338</v>
      </c>
      <c r="B339" s="4">
        <v>40558</v>
      </c>
      <c r="C339" s="3">
        <v>1</v>
      </c>
      <c r="D339" s="3">
        <f t="shared" si="32"/>
        <v>2011</v>
      </c>
      <c r="E339" s="3">
        <v>1</v>
      </c>
      <c r="F339" s="3">
        <v>13</v>
      </c>
      <c r="G339" s="3" t="str">
        <f t="shared" si="33"/>
        <v>Afternoon</v>
      </c>
      <c r="H339" s="3" t="b">
        <v>0</v>
      </c>
      <c r="I339" s="3" t="str">
        <f t="shared" si="31"/>
        <v>Working day</v>
      </c>
      <c r="J339" s="3">
        <v>6</v>
      </c>
      <c r="K339" s="3" t="str">
        <f t="shared" si="34"/>
        <v>Sunday</v>
      </c>
      <c r="L339" s="3">
        <v>1</v>
      </c>
      <c r="M339" s="3" t="str">
        <f t="shared" si="35"/>
        <v>Nice weather</v>
      </c>
      <c r="N339" s="3">
        <v>0.28000000000000003</v>
      </c>
      <c r="O339">
        <f t="shared" si="36"/>
        <v>28.000000000000004</v>
      </c>
    </row>
    <row r="340" spans="1:15" ht="13.2" x14ac:dyDescent="0.25">
      <c r="A340" s="3">
        <v>339</v>
      </c>
      <c r="B340" s="4">
        <v>40558</v>
      </c>
      <c r="C340" s="3">
        <v>1</v>
      </c>
      <c r="D340" s="3">
        <f t="shared" si="32"/>
        <v>2011</v>
      </c>
      <c r="E340" s="3">
        <v>1</v>
      </c>
      <c r="F340" s="3">
        <v>14</v>
      </c>
      <c r="G340" s="3" t="str">
        <f t="shared" si="33"/>
        <v>Afternoon</v>
      </c>
      <c r="H340" s="3" t="b">
        <v>0</v>
      </c>
      <c r="I340" s="3" t="str">
        <f t="shared" si="31"/>
        <v>Working day</v>
      </c>
      <c r="J340" s="3">
        <v>6</v>
      </c>
      <c r="K340" s="3" t="str">
        <f t="shared" si="34"/>
        <v>Sunday</v>
      </c>
      <c r="L340" s="3">
        <v>1</v>
      </c>
      <c r="M340" s="3" t="str">
        <f t="shared" si="35"/>
        <v>Nice weather</v>
      </c>
      <c r="N340" s="3">
        <v>0.3</v>
      </c>
      <c r="O340">
        <f t="shared" si="36"/>
        <v>30</v>
      </c>
    </row>
    <row r="341" spans="1:15" ht="13.2" x14ac:dyDescent="0.25">
      <c r="A341" s="3">
        <v>340</v>
      </c>
      <c r="B341" s="4">
        <v>40558</v>
      </c>
      <c r="C341" s="3">
        <v>1</v>
      </c>
      <c r="D341" s="3">
        <f t="shared" si="32"/>
        <v>2011</v>
      </c>
      <c r="E341" s="3">
        <v>1</v>
      </c>
      <c r="F341" s="3">
        <v>15</v>
      </c>
      <c r="G341" s="3" t="str">
        <f t="shared" si="33"/>
        <v>Afternoon</v>
      </c>
      <c r="H341" s="3" t="b">
        <v>0</v>
      </c>
      <c r="I341" s="3" t="str">
        <f t="shared" si="31"/>
        <v>Working day</v>
      </c>
      <c r="J341" s="3">
        <v>6</v>
      </c>
      <c r="K341" s="3" t="str">
        <f t="shared" si="34"/>
        <v>Sunday</v>
      </c>
      <c r="L341" s="3">
        <v>2</v>
      </c>
      <c r="M341" s="3" t="str">
        <f t="shared" si="35"/>
        <v>Mild Cloudy</v>
      </c>
      <c r="N341" s="3">
        <v>0.32</v>
      </c>
      <c r="O341">
        <f t="shared" si="36"/>
        <v>32</v>
      </c>
    </row>
    <row r="342" spans="1:15" ht="13.2" x14ac:dyDescent="0.25">
      <c r="A342" s="3">
        <v>341</v>
      </c>
      <c r="B342" s="4">
        <v>40558</v>
      </c>
      <c r="C342" s="3">
        <v>1</v>
      </c>
      <c r="D342" s="3">
        <f t="shared" si="32"/>
        <v>2011</v>
      </c>
      <c r="E342" s="3">
        <v>1</v>
      </c>
      <c r="F342" s="3">
        <v>16</v>
      </c>
      <c r="G342" s="3" t="str">
        <f t="shared" si="33"/>
        <v>Afternoon</v>
      </c>
      <c r="H342" s="3" t="b">
        <v>0</v>
      </c>
      <c r="I342" s="3" t="str">
        <f t="shared" si="31"/>
        <v>Working day</v>
      </c>
      <c r="J342" s="3">
        <v>6</v>
      </c>
      <c r="K342" s="3" t="str">
        <f t="shared" si="34"/>
        <v>Sunday</v>
      </c>
      <c r="L342" s="3">
        <v>2</v>
      </c>
      <c r="M342" s="3" t="str">
        <f t="shared" si="35"/>
        <v>Mild Cloudy</v>
      </c>
      <c r="N342" s="3">
        <v>0.34</v>
      </c>
      <c r="O342">
        <f t="shared" si="36"/>
        <v>34</v>
      </c>
    </row>
    <row r="343" spans="1:15" ht="13.2" x14ac:dyDescent="0.25">
      <c r="A343" s="3">
        <v>342</v>
      </c>
      <c r="B343" s="4">
        <v>40558</v>
      </c>
      <c r="C343" s="3">
        <v>1</v>
      </c>
      <c r="D343" s="3">
        <f t="shared" si="32"/>
        <v>2011</v>
      </c>
      <c r="E343" s="3">
        <v>1</v>
      </c>
      <c r="F343" s="3">
        <v>17</v>
      </c>
      <c r="G343" s="3" t="str">
        <f t="shared" si="33"/>
        <v>Afternoon</v>
      </c>
      <c r="H343" s="3" t="b">
        <v>0</v>
      </c>
      <c r="I343" s="3" t="str">
        <f t="shared" si="31"/>
        <v>Working day</v>
      </c>
      <c r="J343" s="3">
        <v>6</v>
      </c>
      <c r="K343" s="3" t="str">
        <f t="shared" si="34"/>
        <v>Sunday</v>
      </c>
      <c r="L343" s="3">
        <v>2</v>
      </c>
      <c r="M343" s="3" t="str">
        <f t="shared" si="35"/>
        <v>Mild Cloudy</v>
      </c>
      <c r="N343" s="3">
        <v>0.32</v>
      </c>
      <c r="O343">
        <f t="shared" si="36"/>
        <v>32</v>
      </c>
    </row>
    <row r="344" spans="1:15" ht="13.2" x14ac:dyDescent="0.25">
      <c r="A344" s="3">
        <v>343</v>
      </c>
      <c r="B344" s="4">
        <v>40558</v>
      </c>
      <c r="C344" s="3">
        <v>1</v>
      </c>
      <c r="D344" s="3">
        <f t="shared" si="32"/>
        <v>2011</v>
      </c>
      <c r="E344" s="3">
        <v>1</v>
      </c>
      <c r="F344" s="3">
        <v>18</v>
      </c>
      <c r="G344" s="3" t="str">
        <f t="shared" si="33"/>
        <v>Evening</v>
      </c>
      <c r="H344" s="3" t="b">
        <v>0</v>
      </c>
      <c r="I344" s="3" t="str">
        <f t="shared" si="31"/>
        <v>Working day</v>
      </c>
      <c r="J344" s="3">
        <v>6</v>
      </c>
      <c r="K344" s="3" t="str">
        <f t="shared" si="34"/>
        <v>Sunday</v>
      </c>
      <c r="L344" s="3">
        <v>2</v>
      </c>
      <c r="M344" s="3" t="str">
        <f t="shared" si="35"/>
        <v>Mild Cloudy</v>
      </c>
      <c r="N344" s="3">
        <v>0.3</v>
      </c>
      <c r="O344">
        <f t="shared" si="36"/>
        <v>30</v>
      </c>
    </row>
    <row r="345" spans="1:15" ht="13.2" x14ac:dyDescent="0.25">
      <c r="A345" s="3">
        <v>344</v>
      </c>
      <c r="B345" s="4">
        <v>40558</v>
      </c>
      <c r="C345" s="3">
        <v>1</v>
      </c>
      <c r="D345" s="3">
        <f t="shared" si="32"/>
        <v>2011</v>
      </c>
      <c r="E345" s="3">
        <v>1</v>
      </c>
      <c r="F345" s="3">
        <v>19</v>
      </c>
      <c r="G345" s="3" t="str">
        <f t="shared" si="33"/>
        <v>Evening</v>
      </c>
      <c r="H345" s="3" t="b">
        <v>0</v>
      </c>
      <c r="I345" s="3" t="str">
        <f t="shared" si="31"/>
        <v>Working day</v>
      </c>
      <c r="J345" s="3">
        <v>6</v>
      </c>
      <c r="K345" s="3" t="str">
        <f t="shared" si="34"/>
        <v>Sunday</v>
      </c>
      <c r="L345" s="3">
        <v>2</v>
      </c>
      <c r="M345" s="3" t="str">
        <f t="shared" si="35"/>
        <v>Mild Cloudy</v>
      </c>
      <c r="N345" s="3">
        <v>0.32</v>
      </c>
      <c r="O345">
        <f t="shared" si="36"/>
        <v>32</v>
      </c>
    </row>
    <row r="346" spans="1:15" ht="13.2" x14ac:dyDescent="0.25">
      <c r="A346" s="3">
        <v>345</v>
      </c>
      <c r="B346" s="4">
        <v>40558</v>
      </c>
      <c r="C346" s="3">
        <v>1</v>
      </c>
      <c r="D346" s="3">
        <f t="shared" si="32"/>
        <v>2011</v>
      </c>
      <c r="E346" s="3">
        <v>1</v>
      </c>
      <c r="F346" s="3">
        <v>20</v>
      </c>
      <c r="G346" s="3" t="str">
        <f t="shared" si="33"/>
        <v>Evening</v>
      </c>
      <c r="H346" s="3" t="b">
        <v>0</v>
      </c>
      <c r="I346" s="3" t="str">
        <f t="shared" si="31"/>
        <v>Working day</v>
      </c>
      <c r="J346" s="3">
        <v>6</v>
      </c>
      <c r="K346" s="3" t="str">
        <f t="shared" si="34"/>
        <v>Sunday</v>
      </c>
      <c r="L346" s="3">
        <v>2</v>
      </c>
      <c r="M346" s="3" t="str">
        <f t="shared" si="35"/>
        <v>Mild Cloudy</v>
      </c>
      <c r="N346" s="3">
        <v>0.32</v>
      </c>
      <c r="O346">
        <f t="shared" si="36"/>
        <v>32</v>
      </c>
    </row>
    <row r="347" spans="1:15" ht="13.2" x14ac:dyDescent="0.25">
      <c r="A347" s="3">
        <v>346</v>
      </c>
      <c r="B347" s="4">
        <v>40558</v>
      </c>
      <c r="C347" s="3">
        <v>1</v>
      </c>
      <c r="D347" s="3">
        <f t="shared" si="32"/>
        <v>2011</v>
      </c>
      <c r="E347" s="3">
        <v>1</v>
      </c>
      <c r="F347" s="3">
        <v>21</v>
      </c>
      <c r="G347" s="3" t="str">
        <f t="shared" si="33"/>
        <v>Evening</v>
      </c>
      <c r="H347" s="3" t="b">
        <v>0</v>
      </c>
      <c r="I347" s="3" t="str">
        <f t="shared" si="31"/>
        <v>Working day</v>
      </c>
      <c r="J347" s="3">
        <v>6</v>
      </c>
      <c r="K347" s="3" t="str">
        <f t="shared" si="34"/>
        <v>Sunday</v>
      </c>
      <c r="L347" s="3">
        <v>2</v>
      </c>
      <c r="M347" s="3" t="str">
        <f t="shared" si="35"/>
        <v>Mild Cloudy</v>
      </c>
      <c r="N347" s="3">
        <v>0.32</v>
      </c>
      <c r="O347">
        <f t="shared" si="36"/>
        <v>32</v>
      </c>
    </row>
    <row r="348" spans="1:15" ht="13.2" x14ac:dyDescent="0.25">
      <c r="A348" s="3">
        <v>347</v>
      </c>
      <c r="B348" s="4">
        <v>40558</v>
      </c>
      <c r="C348" s="3">
        <v>1</v>
      </c>
      <c r="D348" s="3">
        <f t="shared" si="32"/>
        <v>2011</v>
      </c>
      <c r="E348" s="3">
        <v>1</v>
      </c>
      <c r="F348" s="3">
        <v>22</v>
      </c>
      <c r="G348" s="3" t="str">
        <f t="shared" si="33"/>
        <v>Evening</v>
      </c>
      <c r="H348" s="3" t="b">
        <v>0</v>
      </c>
      <c r="I348" s="3" t="str">
        <f t="shared" si="31"/>
        <v>Working day</v>
      </c>
      <c r="J348" s="3">
        <v>6</v>
      </c>
      <c r="K348" s="3" t="str">
        <f t="shared" si="34"/>
        <v>Sunday</v>
      </c>
      <c r="L348" s="3">
        <v>2</v>
      </c>
      <c r="M348" s="3" t="str">
        <f t="shared" si="35"/>
        <v>Mild Cloudy</v>
      </c>
      <c r="N348" s="3">
        <v>0.3</v>
      </c>
      <c r="O348">
        <f t="shared" si="36"/>
        <v>30</v>
      </c>
    </row>
    <row r="349" spans="1:15" ht="13.2" x14ac:dyDescent="0.25">
      <c r="A349" s="3">
        <v>348</v>
      </c>
      <c r="B349" s="4">
        <v>40558</v>
      </c>
      <c r="C349" s="3">
        <v>1</v>
      </c>
      <c r="D349" s="3">
        <f t="shared" si="32"/>
        <v>2011</v>
      </c>
      <c r="E349" s="3">
        <v>1</v>
      </c>
      <c r="F349" s="3">
        <v>23</v>
      </c>
      <c r="G349" s="3" t="str">
        <f t="shared" si="33"/>
        <v>Evening</v>
      </c>
      <c r="H349" s="3" t="b">
        <v>0</v>
      </c>
      <c r="I349" s="3" t="str">
        <f t="shared" si="31"/>
        <v>Working day</v>
      </c>
      <c r="J349" s="3">
        <v>6</v>
      </c>
      <c r="K349" s="3" t="str">
        <f t="shared" si="34"/>
        <v>Sunday</v>
      </c>
      <c r="L349" s="3">
        <v>1</v>
      </c>
      <c r="M349" s="3" t="str">
        <f t="shared" si="35"/>
        <v>Nice weather</v>
      </c>
      <c r="N349" s="3">
        <v>0.3</v>
      </c>
      <c r="O349">
        <f t="shared" si="36"/>
        <v>30</v>
      </c>
    </row>
    <row r="350" spans="1:15" ht="13.2" x14ac:dyDescent="0.25">
      <c r="A350" s="3">
        <v>349</v>
      </c>
      <c r="B350" s="4">
        <v>40559</v>
      </c>
      <c r="C350" s="3">
        <v>1</v>
      </c>
      <c r="D350" s="3">
        <f t="shared" si="32"/>
        <v>2011</v>
      </c>
      <c r="E350" s="3">
        <v>1</v>
      </c>
      <c r="F350" s="3">
        <v>0</v>
      </c>
      <c r="G350" s="3" t="str">
        <f t="shared" si="33"/>
        <v>Night</v>
      </c>
      <c r="H350" s="3" t="b">
        <v>0</v>
      </c>
      <c r="I350" s="3" t="str">
        <f t="shared" si="31"/>
        <v>Working day</v>
      </c>
      <c r="J350" s="3">
        <v>0</v>
      </c>
      <c r="K350" s="3" t="str">
        <f t="shared" si="34"/>
        <v>Monday</v>
      </c>
      <c r="L350" s="3">
        <v>1</v>
      </c>
      <c r="M350" s="3" t="str">
        <f t="shared" si="35"/>
        <v>Nice weather</v>
      </c>
      <c r="N350" s="3">
        <v>0.26</v>
      </c>
      <c r="O350">
        <f t="shared" si="36"/>
        <v>26</v>
      </c>
    </row>
    <row r="351" spans="1:15" ht="13.2" x14ac:dyDescent="0.25">
      <c r="A351" s="3">
        <v>350</v>
      </c>
      <c r="B351" s="4">
        <v>40559</v>
      </c>
      <c r="C351" s="3">
        <v>1</v>
      </c>
      <c r="D351" s="3">
        <f t="shared" si="32"/>
        <v>2011</v>
      </c>
      <c r="E351" s="3">
        <v>1</v>
      </c>
      <c r="F351" s="3">
        <v>1</v>
      </c>
      <c r="G351" s="3" t="str">
        <f t="shared" si="33"/>
        <v>Night</v>
      </c>
      <c r="H351" s="3" t="b">
        <v>0</v>
      </c>
      <c r="I351" s="3" t="str">
        <f t="shared" si="31"/>
        <v>Working day</v>
      </c>
      <c r="J351" s="3">
        <v>0</v>
      </c>
      <c r="K351" s="3" t="str">
        <f t="shared" si="34"/>
        <v>Monday</v>
      </c>
      <c r="L351" s="3">
        <v>1</v>
      </c>
      <c r="M351" s="3" t="str">
        <f t="shared" si="35"/>
        <v>Nice weather</v>
      </c>
      <c r="N351" s="3">
        <v>0.26</v>
      </c>
      <c r="O351">
        <f t="shared" si="36"/>
        <v>26</v>
      </c>
    </row>
    <row r="352" spans="1:15" ht="13.2" x14ac:dyDescent="0.25">
      <c r="A352" s="3">
        <v>351</v>
      </c>
      <c r="B352" s="4">
        <v>40559</v>
      </c>
      <c r="C352" s="3">
        <v>1</v>
      </c>
      <c r="D352" s="3">
        <f t="shared" si="32"/>
        <v>2011</v>
      </c>
      <c r="E352" s="3">
        <v>1</v>
      </c>
      <c r="F352" s="3">
        <v>2</v>
      </c>
      <c r="G352" s="3" t="str">
        <f t="shared" si="33"/>
        <v>Night</v>
      </c>
      <c r="H352" s="3" t="b">
        <v>0</v>
      </c>
      <c r="I352" s="3" t="str">
        <f t="shared" si="31"/>
        <v>Working day</v>
      </c>
      <c r="J352" s="3">
        <v>0</v>
      </c>
      <c r="K352" s="3" t="str">
        <f t="shared" si="34"/>
        <v>Monday</v>
      </c>
      <c r="L352" s="3">
        <v>1</v>
      </c>
      <c r="M352" s="3" t="str">
        <f t="shared" si="35"/>
        <v>Nice weather</v>
      </c>
      <c r="N352" s="3">
        <v>0.26</v>
      </c>
      <c r="O352">
        <f t="shared" si="36"/>
        <v>26</v>
      </c>
    </row>
    <row r="353" spans="1:15" ht="13.2" x14ac:dyDescent="0.25">
      <c r="A353" s="3">
        <v>352</v>
      </c>
      <c r="B353" s="4">
        <v>40559</v>
      </c>
      <c r="C353" s="3">
        <v>1</v>
      </c>
      <c r="D353" s="3">
        <f t="shared" si="32"/>
        <v>2011</v>
      </c>
      <c r="E353" s="3">
        <v>1</v>
      </c>
      <c r="F353" s="3">
        <v>3</v>
      </c>
      <c r="G353" s="3" t="str">
        <f t="shared" si="33"/>
        <v>Night</v>
      </c>
      <c r="H353" s="3" t="b">
        <v>0</v>
      </c>
      <c r="I353" s="3" t="str">
        <f t="shared" si="31"/>
        <v>Working day</v>
      </c>
      <c r="J353" s="3">
        <v>0</v>
      </c>
      <c r="K353" s="3" t="str">
        <f t="shared" si="34"/>
        <v>Monday</v>
      </c>
      <c r="L353" s="3">
        <v>1</v>
      </c>
      <c r="M353" s="3" t="str">
        <f t="shared" si="35"/>
        <v>Nice weather</v>
      </c>
      <c r="N353" s="3">
        <v>0.22</v>
      </c>
      <c r="O353">
        <f t="shared" si="36"/>
        <v>22</v>
      </c>
    </row>
    <row r="354" spans="1:15" ht="13.2" x14ac:dyDescent="0.25">
      <c r="A354" s="3">
        <v>353</v>
      </c>
      <c r="B354" s="4">
        <v>40559</v>
      </c>
      <c r="C354" s="3">
        <v>1</v>
      </c>
      <c r="D354" s="3">
        <f t="shared" si="32"/>
        <v>2011</v>
      </c>
      <c r="E354" s="3">
        <v>1</v>
      </c>
      <c r="F354" s="3">
        <v>4</v>
      </c>
      <c r="G354" s="3" t="str">
        <f t="shared" si="33"/>
        <v>Night</v>
      </c>
      <c r="H354" s="3" t="b">
        <v>0</v>
      </c>
      <c r="I354" s="3" t="str">
        <f t="shared" si="31"/>
        <v>Working day</v>
      </c>
      <c r="J354" s="3">
        <v>0</v>
      </c>
      <c r="K354" s="3" t="str">
        <f t="shared" si="34"/>
        <v>Monday</v>
      </c>
      <c r="L354" s="3">
        <v>1</v>
      </c>
      <c r="M354" s="3" t="str">
        <f t="shared" si="35"/>
        <v>Nice weather</v>
      </c>
      <c r="N354" s="3">
        <v>0.26</v>
      </c>
      <c r="O354">
        <f t="shared" si="36"/>
        <v>26</v>
      </c>
    </row>
    <row r="355" spans="1:15" ht="13.2" x14ac:dyDescent="0.25">
      <c r="A355" s="3">
        <v>354</v>
      </c>
      <c r="B355" s="4">
        <v>40559</v>
      </c>
      <c r="C355" s="3">
        <v>1</v>
      </c>
      <c r="D355" s="3">
        <f t="shared" si="32"/>
        <v>2011</v>
      </c>
      <c r="E355" s="3">
        <v>1</v>
      </c>
      <c r="F355" s="3">
        <v>5</v>
      </c>
      <c r="G355" s="3" t="str">
        <f t="shared" si="33"/>
        <v>Night</v>
      </c>
      <c r="H355" s="3" t="b">
        <v>0</v>
      </c>
      <c r="I355" s="3" t="str">
        <f t="shared" si="31"/>
        <v>Working day</v>
      </c>
      <c r="J355" s="3">
        <v>0</v>
      </c>
      <c r="K355" s="3" t="str">
        <f t="shared" si="34"/>
        <v>Monday</v>
      </c>
      <c r="L355" s="3">
        <v>2</v>
      </c>
      <c r="M355" s="3" t="str">
        <f t="shared" si="35"/>
        <v>Mild Cloudy</v>
      </c>
      <c r="N355" s="3">
        <v>0.26</v>
      </c>
      <c r="O355">
        <f t="shared" si="36"/>
        <v>26</v>
      </c>
    </row>
    <row r="356" spans="1:15" ht="13.2" x14ac:dyDescent="0.25">
      <c r="A356" s="3">
        <v>355</v>
      </c>
      <c r="B356" s="4">
        <v>40559</v>
      </c>
      <c r="C356" s="3">
        <v>1</v>
      </c>
      <c r="D356" s="3">
        <f t="shared" si="32"/>
        <v>2011</v>
      </c>
      <c r="E356" s="3">
        <v>1</v>
      </c>
      <c r="F356" s="3">
        <v>6</v>
      </c>
      <c r="G356" s="3" t="str">
        <f t="shared" si="33"/>
        <v>Morning</v>
      </c>
      <c r="H356" s="3" t="b">
        <v>0</v>
      </c>
      <c r="I356" s="3" t="str">
        <f t="shared" si="31"/>
        <v>Working day</v>
      </c>
      <c r="J356" s="3">
        <v>0</v>
      </c>
      <c r="K356" s="3" t="str">
        <f t="shared" si="34"/>
        <v>Monday</v>
      </c>
      <c r="L356" s="3">
        <v>2</v>
      </c>
      <c r="M356" s="3" t="str">
        <f t="shared" si="35"/>
        <v>Mild Cloudy</v>
      </c>
      <c r="N356" s="3">
        <v>0.26</v>
      </c>
      <c r="O356">
        <f t="shared" si="36"/>
        <v>26</v>
      </c>
    </row>
    <row r="357" spans="1:15" ht="13.2" x14ac:dyDescent="0.25">
      <c r="A357" s="3">
        <v>356</v>
      </c>
      <c r="B357" s="4">
        <v>40559</v>
      </c>
      <c r="C357" s="3">
        <v>1</v>
      </c>
      <c r="D357" s="3">
        <f t="shared" si="32"/>
        <v>2011</v>
      </c>
      <c r="E357" s="3">
        <v>1</v>
      </c>
      <c r="F357" s="3">
        <v>7</v>
      </c>
      <c r="G357" s="3" t="str">
        <f t="shared" si="33"/>
        <v>Morning</v>
      </c>
      <c r="H357" s="3" t="b">
        <v>0</v>
      </c>
      <c r="I357" s="3" t="str">
        <f t="shared" si="31"/>
        <v>Working day</v>
      </c>
      <c r="J357" s="3">
        <v>0</v>
      </c>
      <c r="K357" s="3" t="str">
        <f t="shared" si="34"/>
        <v>Monday</v>
      </c>
      <c r="L357" s="3">
        <v>2</v>
      </c>
      <c r="M357" s="3" t="str">
        <f t="shared" si="35"/>
        <v>Mild Cloudy</v>
      </c>
      <c r="N357" s="3">
        <v>0.24</v>
      </c>
      <c r="O357">
        <f t="shared" si="36"/>
        <v>24</v>
      </c>
    </row>
    <row r="358" spans="1:15" ht="13.2" x14ac:dyDescent="0.25">
      <c r="A358" s="3">
        <v>357</v>
      </c>
      <c r="B358" s="4">
        <v>40559</v>
      </c>
      <c r="C358" s="3">
        <v>1</v>
      </c>
      <c r="D358" s="3">
        <f t="shared" si="32"/>
        <v>2011</v>
      </c>
      <c r="E358" s="3">
        <v>1</v>
      </c>
      <c r="F358" s="3">
        <v>8</v>
      </c>
      <c r="G358" s="3" t="str">
        <f t="shared" si="33"/>
        <v>Morning</v>
      </c>
      <c r="H358" s="3" t="b">
        <v>0</v>
      </c>
      <c r="I358" s="3" t="str">
        <f t="shared" si="31"/>
        <v>Working day</v>
      </c>
      <c r="J358" s="3">
        <v>0</v>
      </c>
      <c r="K358" s="3" t="str">
        <f t="shared" si="34"/>
        <v>Monday</v>
      </c>
      <c r="L358" s="3">
        <v>1</v>
      </c>
      <c r="M358" s="3" t="str">
        <f t="shared" si="35"/>
        <v>Nice weather</v>
      </c>
      <c r="N358" s="3">
        <v>0.22</v>
      </c>
      <c r="O358">
        <f t="shared" si="36"/>
        <v>22</v>
      </c>
    </row>
    <row r="359" spans="1:15" ht="13.2" x14ac:dyDescent="0.25">
      <c r="A359" s="3">
        <v>358</v>
      </c>
      <c r="B359" s="4">
        <v>40559</v>
      </c>
      <c r="C359" s="3">
        <v>1</v>
      </c>
      <c r="D359" s="3">
        <f t="shared" si="32"/>
        <v>2011</v>
      </c>
      <c r="E359" s="3">
        <v>1</v>
      </c>
      <c r="F359" s="3">
        <v>9</v>
      </c>
      <c r="G359" s="3" t="str">
        <f t="shared" si="33"/>
        <v>Morning</v>
      </c>
      <c r="H359" s="3" t="b">
        <v>0</v>
      </c>
      <c r="I359" s="3" t="str">
        <f t="shared" si="31"/>
        <v>Working day</v>
      </c>
      <c r="J359" s="3">
        <v>0</v>
      </c>
      <c r="K359" s="3" t="str">
        <f t="shared" si="34"/>
        <v>Monday</v>
      </c>
      <c r="L359" s="3">
        <v>1</v>
      </c>
      <c r="M359" s="3" t="str">
        <f t="shared" si="35"/>
        <v>Nice weather</v>
      </c>
      <c r="N359" s="3">
        <v>0.22</v>
      </c>
      <c r="O359">
        <f t="shared" si="36"/>
        <v>22</v>
      </c>
    </row>
    <row r="360" spans="1:15" ht="13.2" x14ac:dyDescent="0.25">
      <c r="A360" s="3">
        <v>359</v>
      </c>
      <c r="B360" s="4">
        <v>40559</v>
      </c>
      <c r="C360" s="3">
        <v>1</v>
      </c>
      <c r="D360" s="3">
        <f t="shared" si="32"/>
        <v>2011</v>
      </c>
      <c r="E360" s="3">
        <v>1</v>
      </c>
      <c r="F360" s="3">
        <v>10</v>
      </c>
      <c r="G360" s="3" t="str">
        <f t="shared" si="33"/>
        <v>Morning</v>
      </c>
      <c r="H360" s="3" t="b">
        <v>0</v>
      </c>
      <c r="I360" s="3" t="str">
        <f t="shared" si="31"/>
        <v>Working day</v>
      </c>
      <c r="J360" s="3">
        <v>0</v>
      </c>
      <c r="K360" s="3" t="str">
        <f t="shared" si="34"/>
        <v>Monday</v>
      </c>
      <c r="L360" s="3">
        <v>1</v>
      </c>
      <c r="M360" s="3" t="str">
        <f t="shared" si="35"/>
        <v>Nice weather</v>
      </c>
      <c r="N360" s="3">
        <v>0.22</v>
      </c>
      <c r="O360">
        <f t="shared" si="36"/>
        <v>22</v>
      </c>
    </row>
    <row r="361" spans="1:15" ht="13.2" x14ac:dyDescent="0.25">
      <c r="A361" s="3">
        <v>360</v>
      </c>
      <c r="B361" s="4">
        <v>40559</v>
      </c>
      <c r="C361" s="3">
        <v>1</v>
      </c>
      <c r="D361" s="3">
        <f t="shared" si="32"/>
        <v>2011</v>
      </c>
      <c r="E361" s="3">
        <v>1</v>
      </c>
      <c r="F361" s="3">
        <v>11</v>
      </c>
      <c r="G361" s="3" t="str">
        <f t="shared" si="33"/>
        <v>Morning</v>
      </c>
      <c r="H361" s="3" t="b">
        <v>0</v>
      </c>
      <c r="I361" s="3" t="str">
        <f t="shared" si="31"/>
        <v>Working day</v>
      </c>
      <c r="J361" s="3">
        <v>0</v>
      </c>
      <c r="K361" s="3" t="str">
        <f t="shared" si="34"/>
        <v>Monday</v>
      </c>
      <c r="L361" s="3">
        <v>1</v>
      </c>
      <c r="M361" s="3" t="str">
        <f t="shared" si="35"/>
        <v>Nice weather</v>
      </c>
      <c r="N361" s="3">
        <v>0.24</v>
      </c>
      <c r="O361">
        <f t="shared" si="36"/>
        <v>24</v>
      </c>
    </row>
    <row r="362" spans="1:15" ht="13.2" x14ac:dyDescent="0.25">
      <c r="A362" s="3">
        <v>361</v>
      </c>
      <c r="B362" s="4">
        <v>40559</v>
      </c>
      <c r="C362" s="3">
        <v>1</v>
      </c>
      <c r="D362" s="3">
        <f t="shared" si="32"/>
        <v>2011</v>
      </c>
      <c r="E362" s="3">
        <v>1</v>
      </c>
      <c r="F362" s="3">
        <v>12</v>
      </c>
      <c r="G362" s="3" t="str">
        <f t="shared" si="33"/>
        <v>Afternoon</v>
      </c>
      <c r="H362" s="3" t="b">
        <v>0</v>
      </c>
      <c r="I362" s="3" t="str">
        <f t="shared" si="31"/>
        <v>Working day</v>
      </c>
      <c r="J362" s="3">
        <v>0</v>
      </c>
      <c r="K362" s="3" t="str">
        <f t="shared" si="34"/>
        <v>Monday</v>
      </c>
      <c r="L362" s="3">
        <v>1</v>
      </c>
      <c r="M362" s="3" t="str">
        <f t="shared" si="35"/>
        <v>Nice weather</v>
      </c>
      <c r="N362" s="3">
        <v>0.24</v>
      </c>
      <c r="O362">
        <f t="shared" si="36"/>
        <v>24</v>
      </c>
    </row>
    <row r="363" spans="1:15" ht="13.2" x14ac:dyDescent="0.25">
      <c r="A363" s="3">
        <v>362</v>
      </c>
      <c r="B363" s="4">
        <v>40559</v>
      </c>
      <c r="C363" s="3">
        <v>1</v>
      </c>
      <c r="D363" s="3">
        <f t="shared" si="32"/>
        <v>2011</v>
      </c>
      <c r="E363" s="3">
        <v>1</v>
      </c>
      <c r="F363" s="3">
        <v>13</v>
      </c>
      <c r="G363" s="3" t="str">
        <f t="shared" si="33"/>
        <v>Afternoon</v>
      </c>
      <c r="H363" s="3" t="b">
        <v>0</v>
      </c>
      <c r="I363" s="3" t="str">
        <f t="shared" si="31"/>
        <v>Working day</v>
      </c>
      <c r="J363" s="3">
        <v>0</v>
      </c>
      <c r="K363" s="3" t="str">
        <f t="shared" si="34"/>
        <v>Monday</v>
      </c>
      <c r="L363" s="3">
        <v>1</v>
      </c>
      <c r="M363" s="3" t="str">
        <f t="shared" si="35"/>
        <v>Nice weather</v>
      </c>
      <c r="N363" s="3">
        <v>0.26</v>
      </c>
      <c r="O363">
        <f t="shared" si="36"/>
        <v>26</v>
      </c>
    </row>
    <row r="364" spans="1:15" ht="13.2" x14ac:dyDescent="0.25">
      <c r="A364" s="3">
        <v>363</v>
      </c>
      <c r="B364" s="4">
        <v>40559</v>
      </c>
      <c r="C364" s="3">
        <v>1</v>
      </c>
      <c r="D364" s="3">
        <f t="shared" si="32"/>
        <v>2011</v>
      </c>
      <c r="E364" s="3">
        <v>1</v>
      </c>
      <c r="F364" s="3">
        <v>14</v>
      </c>
      <c r="G364" s="3" t="str">
        <f t="shared" si="33"/>
        <v>Afternoon</v>
      </c>
      <c r="H364" s="3" t="b">
        <v>0</v>
      </c>
      <c r="I364" s="3" t="str">
        <f t="shared" si="31"/>
        <v>Working day</v>
      </c>
      <c r="J364" s="3">
        <v>0</v>
      </c>
      <c r="K364" s="3" t="str">
        <f t="shared" si="34"/>
        <v>Monday</v>
      </c>
      <c r="L364" s="3">
        <v>1</v>
      </c>
      <c r="M364" s="3" t="str">
        <f t="shared" si="35"/>
        <v>Nice weather</v>
      </c>
      <c r="N364" s="3">
        <v>0.28000000000000003</v>
      </c>
      <c r="O364">
        <f t="shared" si="36"/>
        <v>28.000000000000004</v>
      </c>
    </row>
    <row r="365" spans="1:15" ht="13.2" x14ac:dyDescent="0.25">
      <c r="A365" s="3">
        <v>364</v>
      </c>
      <c r="B365" s="4">
        <v>40559</v>
      </c>
      <c r="C365" s="3">
        <v>1</v>
      </c>
      <c r="D365" s="3">
        <f t="shared" si="32"/>
        <v>2011</v>
      </c>
      <c r="E365" s="3">
        <v>1</v>
      </c>
      <c r="F365" s="3">
        <v>15</v>
      </c>
      <c r="G365" s="3" t="str">
        <f t="shared" si="33"/>
        <v>Afternoon</v>
      </c>
      <c r="H365" s="3" t="b">
        <v>0</v>
      </c>
      <c r="I365" s="3" t="str">
        <f t="shared" si="31"/>
        <v>Working day</v>
      </c>
      <c r="J365" s="3">
        <v>0</v>
      </c>
      <c r="K365" s="3" t="str">
        <f t="shared" si="34"/>
        <v>Monday</v>
      </c>
      <c r="L365" s="3">
        <v>1</v>
      </c>
      <c r="M365" s="3" t="str">
        <f t="shared" si="35"/>
        <v>Nice weather</v>
      </c>
      <c r="N365" s="3">
        <v>0.26</v>
      </c>
      <c r="O365">
        <f t="shared" si="36"/>
        <v>26</v>
      </c>
    </row>
    <row r="366" spans="1:15" ht="13.2" x14ac:dyDescent="0.25">
      <c r="A366" s="3">
        <v>365</v>
      </c>
      <c r="B366" s="4">
        <v>40559</v>
      </c>
      <c r="C366" s="3">
        <v>1</v>
      </c>
      <c r="D366" s="3">
        <f t="shared" si="32"/>
        <v>2011</v>
      </c>
      <c r="E366" s="3">
        <v>1</v>
      </c>
      <c r="F366" s="3">
        <v>16</v>
      </c>
      <c r="G366" s="3" t="str">
        <f t="shared" si="33"/>
        <v>Afternoon</v>
      </c>
      <c r="H366" s="3" t="b">
        <v>0</v>
      </c>
      <c r="I366" s="3" t="str">
        <f t="shared" si="31"/>
        <v>Working day</v>
      </c>
      <c r="J366" s="3">
        <v>0</v>
      </c>
      <c r="K366" s="3" t="str">
        <f t="shared" si="34"/>
        <v>Monday</v>
      </c>
      <c r="L366" s="3">
        <v>1</v>
      </c>
      <c r="M366" s="3" t="str">
        <f t="shared" si="35"/>
        <v>Nice weather</v>
      </c>
      <c r="N366" s="3">
        <v>0.24</v>
      </c>
      <c r="O366">
        <f t="shared" si="36"/>
        <v>24</v>
      </c>
    </row>
    <row r="367" spans="1:15" ht="13.2" x14ac:dyDescent="0.25">
      <c r="A367" s="3">
        <v>366</v>
      </c>
      <c r="B367" s="4">
        <v>40559</v>
      </c>
      <c r="C367" s="3">
        <v>1</v>
      </c>
      <c r="D367" s="3">
        <f t="shared" si="32"/>
        <v>2011</v>
      </c>
      <c r="E367" s="3">
        <v>1</v>
      </c>
      <c r="F367" s="3">
        <v>17</v>
      </c>
      <c r="G367" s="3" t="str">
        <f t="shared" si="33"/>
        <v>Afternoon</v>
      </c>
      <c r="H367" s="3" t="b">
        <v>0</v>
      </c>
      <c r="I367" s="3" t="str">
        <f t="shared" si="31"/>
        <v>Working day</v>
      </c>
      <c r="J367" s="3">
        <v>0</v>
      </c>
      <c r="K367" s="3" t="str">
        <f t="shared" si="34"/>
        <v>Monday</v>
      </c>
      <c r="L367" s="3">
        <v>1</v>
      </c>
      <c r="M367" s="3" t="str">
        <f t="shared" si="35"/>
        <v>Nice weather</v>
      </c>
      <c r="N367" s="3">
        <v>0.22</v>
      </c>
      <c r="O367">
        <f t="shared" si="36"/>
        <v>22</v>
      </c>
    </row>
    <row r="368" spans="1:15" ht="13.2" x14ac:dyDescent="0.25">
      <c r="A368" s="3">
        <v>367</v>
      </c>
      <c r="B368" s="4">
        <v>40559</v>
      </c>
      <c r="C368" s="3">
        <v>1</v>
      </c>
      <c r="D368" s="3">
        <f t="shared" si="32"/>
        <v>2011</v>
      </c>
      <c r="E368" s="3">
        <v>1</v>
      </c>
      <c r="F368" s="3">
        <v>18</v>
      </c>
      <c r="G368" s="3" t="str">
        <f t="shared" si="33"/>
        <v>Evening</v>
      </c>
      <c r="H368" s="3" t="b">
        <v>0</v>
      </c>
      <c r="I368" s="3" t="str">
        <f t="shared" si="31"/>
        <v>Working day</v>
      </c>
      <c r="J368" s="3">
        <v>0</v>
      </c>
      <c r="K368" s="3" t="str">
        <f t="shared" si="34"/>
        <v>Monday</v>
      </c>
      <c r="L368" s="3">
        <v>1</v>
      </c>
      <c r="M368" s="3" t="str">
        <f t="shared" si="35"/>
        <v>Nice weather</v>
      </c>
      <c r="N368" s="3">
        <v>0.2</v>
      </c>
      <c r="O368">
        <f t="shared" si="36"/>
        <v>20</v>
      </c>
    </row>
    <row r="369" spans="1:15" ht="13.2" x14ac:dyDescent="0.25">
      <c r="A369" s="3">
        <v>368</v>
      </c>
      <c r="B369" s="4">
        <v>40559</v>
      </c>
      <c r="C369" s="3">
        <v>1</v>
      </c>
      <c r="D369" s="3">
        <f t="shared" si="32"/>
        <v>2011</v>
      </c>
      <c r="E369" s="3">
        <v>1</v>
      </c>
      <c r="F369" s="3">
        <v>19</v>
      </c>
      <c r="G369" s="3" t="str">
        <f t="shared" si="33"/>
        <v>Evening</v>
      </c>
      <c r="H369" s="3" t="b">
        <v>0</v>
      </c>
      <c r="I369" s="3" t="str">
        <f t="shared" si="31"/>
        <v>Working day</v>
      </c>
      <c r="J369" s="3">
        <v>0</v>
      </c>
      <c r="K369" s="3" t="str">
        <f t="shared" si="34"/>
        <v>Monday</v>
      </c>
      <c r="L369" s="3">
        <v>1</v>
      </c>
      <c r="M369" s="3" t="str">
        <f t="shared" si="35"/>
        <v>Nice weather</v>
      </c>
      <c r="N369" s="3">
        <v>0.18</v>
      </c>
      <c r="O369">
        <f t="shared" si="36"/>
        <v>18</v>
      </c>
    </row>
    <row r="370" spans="1:15" ht="13.2" x14ac:dyDescent="0.25">
      <c r="A370" s="3">
        <v>369</v>
      </c>
      <c r="B370" s="4">
        <v>40559</v>
      </c>
      <c r="C370" s="3">
        <v>1</v>
      </c>
      <c r="D370" s="3">
        <f t="shared" si="32"/>
        <v>2011</v>
      </c>
      <c r="E370" s="3">
        <v>1</v>
      </c>
      <c r="F370" s="3">
        <v>20</v>
      </c>
      <c r="G370" s="3" t="str">
        <f t="shared" si="33"/>
        <v>Evening</v>
      </c>
      <c r="H370" s="3" t="b">
        <v>0</v>
      </c>
      <c r="I370" s="3" t="str">
        <f t="shared" si="31"/>
        <v>Working day</v>
      </c>
      <c r="J370" s="3">
        <v>0</v>
      </c>
      <c r="K370" s="3" t="str">
        <f t="shared" si="34"/>
        <v>Monday</v>
      </c>
      <c r="L370" s="3">
        <v>1</v>
      </c>
      <c r="M370" s="3" t="str">
        <f t="shared" si="35"/>
        <v>Nice weather</v>
      </c>
      <c r="N370" s="3">
        <v>0.18</v>
      </c>
      <c r="O370">
        <f t="shared" si="36"/>
        <v>18</v>
      </c>
    </row>
    <row r="371" spans="1:15" ht="13.2" x14ac:dyDescent="0.25">
      <c r="A371" s="3">
        <v>370</v>
      </c>
      <c r="B371" s="4">
        <v>40559</v>
      </c>
      <c r="C371" s="3">
        <v>1</v>
      </c>
      <c r="D371" s="3">
        <f t="shared" si="32"/>
        <v>2011</v>
      </c>
      <c r="E371" s="3">
        <v>1</v>
      </c>
      <c r="F371" s="3">
        <v>21</v>
      </c>
      <c r="G371" s="3" t="str">
        <f t="shared" si="33"/>
        <v>Evening</v>
      </c>
      <c r="H371" s="3" t="b">
        <v>0</v>
      </c>
      <c r="I371" s="3" t="str">
        <f t="shared" si="31"/>
        <v>Working day</v>
      </c>
      <c r="J371" s="3">
        <v>0</v>
      </c>
      <c r="K371" s="3" t="str">
        <f t="shared" si="34"/>
        <v>Monday</v>
      </c>
      <c r="L371" s="3">
        <v>1</v>
      </c>
      <c r="M371" s="3" t="str">
        <f t="shared" si="35"/>
        <v>Nice weather</v>
      </c>
      <c r="N371" s="3">
        <v>0.18</v>
      </c>
      <c r="O371">
        <f t="shared" si="36"/>
        <v>18</v>
      </c>
    </row>
    <row r="372" spans="1:15" ht="13.2" x14ac:dyDescent="0.25">
      <c r="A372" s="3">
        <v>371</v>
      </c>
      <c r="B372" s="4">
        <v>40559</v>
      </c>
      <c r="C372" s="3">
        <v>1</v>
      </c>
      <c r="D372" s="3">
        <f t="shared" si="32"/>
        <v>2011</v>
      </c>
      <c r="E372" s="3">
        <v>1</v>
      </c>
      <c r="F372" s="3">
        <v>22</v>
      </c>
      <c r="G372" s="3" t="str">
        <f t="shared" si="33"/>
        <v>Evening</v>
      </c>
      <c r="H372" s="3" t="b">
        <v>0</v>
      </c>
      <c r="I372" s="3" t="str">
        <f t="shared" si="31"/>
        <v>Working day</v>
      </c>
      <c r="J372" s="3">
        <v>0</v>
      </c>
      <c r="K372" s="3" t="str">
        <f t="shared" si="34"/>
        <v>Monday</v>
      </c>
      <c r="L372" s="3">
        <v>2</v>
      </c>
      <c r="M372" s="3" t="str">
        <f t="shared" si="35"/>
        <v>Mild Cloudy</v>
      </c>
      <c r="N372" s="3">
        <v>0.2</v>
      </c>
      <c r="O372">
        <f t="shared" si="36"/>
        <v>20</v>
      </c>
    </row>
    <row r="373" spans="1:15" ht="13.2" x14ac:dyDescent="0.25">
      <c r="A373" s="3">
        <v>372</v>
      </c>
      <c r="B373" s="4">
        <v>40559</v>
      </c>
      <c r="C373" s="3">
        <v>1</v>
      </c>
      <c r="D373" s="3">
        <f t="shared" si="32"/>
        <v>2011</v>
      </c>
      <c r="E373" s="3">
        <v>1</v>
      </c>
      <c r="F373" s="3">
        <v>23</v>
      </c>
      <c r="G373" s="3" t="str">
        <f t="shared" si="33"/>
        <v>Evening</v>
      </c>
      <c r="H373" s="3" t="b">
        <v>0</v>
      </c>
      <c r="I373" s="3" t="str">
        <f t="shared" si="31"/>
        <v>Working day</v>
      </c>
      <c r="J373" s="3">
        <v>0</v>
      </c>
      <c r="K373" s="3" t="str">
        <f t="shared" si="34"/>
        <v>Monday</v>
      </c>
      <c r="L373" s="3">
        <v>2</v>
      </c>
      <c r="M373" s="3" t="str">
        <f t="shared" si="35"/>
        <v>Mild Cloudy</v>
      </c>
      <c r="N373" s="3">
        <v>0.2</v>
      </c>
      <c r="O373">
        <f t="shared" si="36"/>
        <v>20</v>
      </c>
    </row>
    <row r="374" spans="1:15" ht="13.2" x14ac:dyDescent="0.25">
      <c r="A374" s="3">
        <v>373</v>
      </c>
      <c r="B374" s="4">
        <v>40560</v>
      </c>
      <c r="C374" s="3">
        <v>1</v>
      </c>
      <c r="D374" s="3">
        <f t="shared" si="32"/>
        <v>2011</v>
      </c>
      <c r="E374" s="3">
        <v>1</v>
      </c>
      <c r="F374" s="3">
        <v>0</v>
      </c>
      <c r="G374" s="3" t="str">
        <f t="shared" si="33"/>
        <v>Night</v>
      </c>
      <c r="H374" s="3" t="b">
        <v>1</v>
      </c>
      <c r="I374" s="3" t="str">
        <f t="shared" si="31"/>
        <v>Holiday</v>
      </c>
      <c r="J374" s="3">
        <v>1</v>
      </c>
      <c r="K374" s="3" t="str">
        <f t="shared" si="34"/>
        <v>Tuesday</v>
      </c>
      <c r="L374" s="3">
        <v>2</v>
      </c>
      <c r="M374" s="3" t="str">
        <f t="shared" si="35"/>
        <v>Mild Cloudy</v>
      </c>
      <c r="N374" s="3">
        <v>0.2</v>
      </c>
      <c r="O374">
        <f t="shared" si="36"/>
        <v>20</v>
      </c>
    </row>
    <row r="375" spans="1:15" ht="13.2" x14ac:dyDescent="0.25">
      <c r="A375" s="3">
        <v>374</v>
      </c>
      <c r="B375" s="4">
        <v>40560</v>
      </c>
      <c r="C375" s="3">
        <v>1</v>
      </c>
      <c r="D375" s="3">
        <f t="shared" si="32"/>
        <v>2011</v>
      </c>
      <c r="E375" s="3">
        <v>1</v>
      </c>
      <c r="F375" s="3">
        <v>1</v>
      </c>
      <c r="G375" s="3" t="str">
        <f t="shared" si="33"/>
        <v>Night</v>
      </c>
      <c r="H375" s="3" t="b">
        <v>1</v>
      </c>
      <c r="I375" s="3" t="str">
        <f t="shared" si="31"/>
        <v>Holiday</v>
      </c>
      <c r="J375" s="3">
        <v>1</v>
      </c>
      <c r="K375" s="3" t="str">
        <f t="shared" si="34"/>
        <v>Tuesday</v>
      </c>
      <c r="L375" s="3">
        <v>2</v>
      </c>
      <c r="M375" s="3" t="str">
        <f t="shared" si="35"/>
        <v>Mild Cloudy</v>
      </c>
      <c r="N375" s="3">
        <v>0.2</v>
      </c>
      <c r="O375">
        <f t="shared" si="36"/>
        <v>20</v>
      </c>
    </row>
    <row r="376" spans="1:15" ht="13.2" x14ac:dyDescent="0.25">
      <c r="A376" s="3">
        <v>375</v>
      </c>
      <c r="B376" s="4">
        <v>40560</v>
      </c>
      <c r="C376" s="3">
        <v>1</v>
      </c>
      <c r="D376" s="3">
        <f t="shared" si="32"/>
        <v>2011</v>
      </c>
      <c r="E376" s="3">
        <v>1</v>
      </c>
      <c r="F376" s="3">
        <v>2</v>
      </c>
      <c r="G376" s="3" t="str">
        <f t="shared" si="33"/>
        <v>Night</v>
      </c>
      <c r="H376" s="3" t="b">
        <v>1</v>
      </c>
      <c r="I376" s="3" t="str">
        <f t="shared" si="31"/>
        <v>Holiday</v>
      </c>
      <c r="J376" s="3">
        <v>1</v>
      </c>
      <c r="K376" s="3" t="str">
        <f t="shared" si="34"/>
        <v>Tuesday</v>
      </c>
      <c r="L376" s="3">
        <v>2</v>
      </c>
      <c r="M376" s="3" t="str">
        <f t="shared" si="35"/>
        <v>Mild Cloudy</v>
      </c>
      <c r="N376" s="3">
        <v>0.18</v>
      </c>
      <c r="O376">
        <f t="shared" si="36"/>
        <v>18</v>
      </c>
    </row>
    <row r="377" spans="1:15" ht="13.2" x14ac:dyDescent="0.25">
      <c r="A377" s="3">
        <v>376</v>
      </c>
      <c r="B377" s="4">
        <v>40560</v>
      </c>
      <c r="C377" s="3">
        <v>1</v>
      </c>
      <c r="D377" s="3">
        <f t="shared" si="32"/>
        <v>2011</v>
      </c>
      <c r="E377" s="3">
        <v>1</v>
      </c>
      <c r="F377" s="3">
        <v>3</v>
      </c>
      <c r="G377" s="3" t="str">
        <f t="shared" si="33"/>
        <v>Night</v>
      </c>
      <c r="H377" s="3" t="b">
        <v>1</v>
      </c>
      <c r="I377" s="3" t="str">
        <f t="shared" si="31"/>
        <v>Holiday</v>
      </c>
      <c r="J377" s="3">
        <v>1</v>
      </c>
      <c r="K377" s="3" t="str">
        <f t="shared" si="34"/>
        <v>Tuesday</v>
      </c>
      <c r="L377" s="3">
        <v>2</v>
      </c>
      <c r="M377" s="3" t="str">
        <f t="shared" si="35"/>
        <v>Mild Cloudy</v>
      </c>
      <c r="N377" s="3">
        <v>0.18</v>
      </c>
      <c r="O377">
        <f t="shared" si="36"/>
        <v>18</v>
      </c>
    </row>
    <row r="378" spans="1:15" ht="13.2" x14ac:dyDescent="0.25">
      <c r="A378" s="3">
        <v>377</v>
      </c>
      <c r="B378" s="4">
        <v>40560</v>
      </c>
      <c r="C378" s="3">
        <v>1</v>
      </c>
      <c r="D378" s="3">
        <f t="shared" si="32"/>
        <v>2011</v>
      </c>
      <c r="E378" s="3">
        <v>1</v>
      </c>
      <c r="F378" s="3">
        <v>4</v>
      </c>
      <c r="G378" s="3" t="str">
        <f t="shared" si="33"/>
        <v>Night</v>
      </c>
      <c r="H378" s="3" t="b">
        <v>1</v>
      </c>
      <c r="I378" s="3" t="str">
        <f t="shared" si="31"/>
        <v>Holiday</v>
      </c>
      <c r="J378" s="3">
        <v>1</v>
      </c>
      <c r="K378" s="3" t="str">
        <f t="shared" si="34"/>
        <v>Tuesday</v>
      </c>
      <c r="L378" s="3">
        <v>2</v>
      </c>
      <c r="M378" s="3" t="str">
        <f t="shared" si="35"/>
        <v>Mild Cloudy</v>
      </c>
      <c r="N378" s="3">
        <v>0.18</v>
      </c>
      <c r="O378">
        <f t="shared" si="36"/>
        <v>18</v>
      </c>
    </row>
    <row r="379" spans="1:15" ht="13.2" x14ac:dyDescent="0.25">
      <c r="A379" s="3">
        <v>378</v>
      </c>
      <c r="B379" s="4">
        <v>40560</v>
      </c>
      <c r="C379" s="3">
        <v>1</v>
      </c>
      <c r="D379" s="3">
        <f t="shared" si="32"/>
        <v>2011</v>
      </c>
      <c r="E379" s="3">
        <v>1</v>
      </c>
      <c r="F379" s="3">
        <v>5</v>
      </c>
      <c r="G379" s="3" t="str">
        <f t="shared" si="33"/>
        <v>Night</v>
      </c>
      <c r="H379" s="3" t="b">
        <v>1</v>
      </c>
      <c r="I379" s="3" t="str">
        <f t="shared" si="31"/>
        <v>Holiday</v>
      </c>
      <c r="J379" s="3">
        <v>1</v>
      </c>
      <c r="K379" s="3" t="str">
        <f t="shared" si="34"/>
        <v>Tuesday</v>
      </c>
      <c r="L379" s="3">
        <v>2</v>
      </c>
      <c r="M379" s="3" t="str">
        <f t="shared" si="35"/>
        <v>Mild Cloudy</v>
      </c>
      <c r="N379" s="3">
        <v>0.18</v>
      </c>
      <c r="O379">
        <f t="shared" si="36"/>
        <v>18</v>
      </c>
    </row>
    <row r="380" spans="1:15" ht="13.2" x14ac:dyDescent="0.25">
      <c r="A380" s="3">
        <v>379</v>
      </c>
      <c r="B380" s="4">
        <v>40560</v>
      </c>
      <c r="C380" s="3">
        <v>1</v>
      </c>
      <c r="D380" s="3">
        <f t="shared" si="32"/>
        <v>2011</v>
      </c>
      <c r="E380" s="3">
        <v>1</v>
      </c>
      <c r="F380" s="3">
        <v>6</v>
      </c>
      <c r="G380" s="3" t="str">
        <f t="shared" si="33"/>
        <v>Morning</v>
      </c>
      <c r="H380" s="3" t="b">
        <v>1</v>
      </c>
      <c r="I380" s="3" t="str">
        <f t="shared" si="31"/>
        <v>Holiday</v>
      </c>
      <c r="J380" s="3">
        <v>1</v>
      </c>
      <c r="K380" s="3" t="str">
        <f t="shared" si="34"/>
        <v>Tuesday</v>
      </c>
      <c r="L380" s="3">
        <v>2</v>
      </c>
      <c r="M380" s="3" t="str">
        <f t="shared" si="35"/>
        <v>Mild Cloudy</v>
      </c>
      <c r="N380" s="3">
        <v>0.18</v>
      </c>
      <c r="O380">
        <f t="shared" si="36"/>
        <v>18</v>
      </c>
    </row>
    <row r="381" spans="1:15" ht="13.2" x14ac:dyDescent="0.25">
      <c r="A381" s="3">
        <v>380</v>
      </c>
      <c r="B381" s="4">
        <v>40560</v>
      </c>
      <c r="C381" s="3">
        <v>1</v>
      </c>
      <c r="D381" s="3">
        <f t="shared" si="32"/>
        <v>2011</v>
      </c>
      <c r="E381" s="3">
        <v>1</v>
      </c>
      <c r="F381" s="3">
        <v>7</v>
      </c>
      <c r="G381" s="3" t="str">
        <f t="shared" si="33"/>
        <v>Morning</v>
      </c>
      <c r="H381" s="3" t="b">
        <v>1</v>
      </c>
      <c r="I381" s="3" t="str">
        <f t="shared" si="31"/>
        <v>Holiday</v>
      </c>
      <c r="J381" s="3">
        <v>1</v>
      </c>
      <c r="K381" s="3" t="str">
        <f t="shared" si="34"/>
        <v>Tuesday</v>
      </c>
      <c r="L381" s="3">
        <v>2</v>
      </c>
      <c r="M381" s="3" t="str">
        <f t="shared" si="35"/>
        <v>Mild Cloudy</v>
      </c>
      <c r="N381" s="3">
        <v>0.16</v>
      </c>
      <c r="O381">
        <f t="shared" si="36"/>
        <v>16</v>
      </c>
    </row>
    <row r="382" spans="1:15" ht="13.2" x14ac:dyDescent="0.25">
      <c r="A382" s="3">
        <v>381</v>
      </c>
      <c r="B382" s="4">
        <v>40560</v>
      </c>
      <c r="C382" s="3">
        <v>1</v>
      </c>
      <c r="D382" s="3">
        <f t="shared" si="32"/>
        <v>2011</v>
      </c>
      <c r="E382" s="3">
        <v>1</v>
      </c>
      <c r="F382" s="3">
        <v>8</v>
      </c>
      <c r="G382" s="3" t="str">
        <f t="shared" si="33"/>
        <v>Morning</v>
      </c>
      <c r="H382" s="3" t="b">
        <v>1</v>
      </c>
      <c r="I382" s="3" t="str">
        <f t="shared" si="31"/>
        <v>Holiday</v>
      </c>
      <c r="J382" s="3">
        <v>1</v>
      </c>
      <c r="K382" s="3" t="str">
        <f t="shared" si="34"/>
        <v>Tuesday</v>
      </c>
      <c r="L382" s="3">
        <v>2</v>
      </c>
      <c r="M382" s="3" t="str">
        <f t="shared" si="35"/>
        <v>Mild Cloudy</v>
      </c>
      <c r="N382" s="3">
        <v>0.16</v>
      </c>
      <c r="O382">
        <f t="shared" si="36"/>
        <v>16</v>
      </c>
    </row>
    <row r="383" spans="1:15" ht="13.2" x14ac:dyDescent="0.25">
      <c r="A383" s="3">
        <v>382</v>
      </c>
      <c r="B383" s="4">
        <v>40560</v>
      </c>
      <c r="C383" s="3">
        <v>1</v>
      </c>
      <c r="D383" s="3">
        <f t="shared" si="32"/>
        <v>2011</v>
      </c>
      <c r="E383" s="3">
        <v>1</v>
      </c>
      <c r="F383" s="3">
        <v>9</v>
      </c>
      <c r="G383" s="3" t="str">
        <f t="shared" si="33"/>
        <v>Morning</v>
      </c>
      <c r="H383" s="3" t="b">
        <v>1</v>
      </c>
      <c r="I383" s="3" t="str">
        <f t="shared" si="31"/>
        <v>Holiday</v>
      </c>
      <c r="J383" s="3">
        <v>1</v>
      </c>
      <c r="K383" s="3" t="str">
        <f t="shared" si="34"/>
        <v>Tuesday</v>
      </c>
      <c r="L383" s="3">
        <v>2</v>
      </c>
      <c r="M383" s="3" t="str">
        <f t="shared" si="35"/>
        <v>Mild Cloudy</v>
      </c>
      <c r="N383" s="3">
        <v>0.16</v>
      </c>
      <c r="O383">
        <f t="shared" si="36"/>
        <v>16</v>
      </c>
    </row>
    <row r="384" spans="1:15" ht="13.2" x14ac:dyDescent="0.25">
      <c r="A384" s="3">
        <v>383</v>
      </c>
      <c r="B384" s="4">
        <v>40560</v>
      </c>
      <c r="C384" s="3">
        <v>1</v>
      </c>
      <c r="D384" s="3">
        <f t="shared" si="32"/>
        <v>2011</v>
      </c>
      <c r="E384" s="3">
        <v>1</v>
      </c>
      <c r="F384" s="3">
        <v>10</v>
      </c>
      <c r="G384" s="3" t="str">
        <f t="shared" si="33"/>
        <v>Morning</v>
      </c>
      <c r="H384" s="3" t="b">
        <v>1</v>
      </c>
      <c r="I384" s="3" t="str">
        <f t="shared" si="31"/>
        <v>Holiday</v>
      </c>
      <c r="J384" s="3">
        <v>1</v>
      </c>
      <c r="K384" s="3" t="str">
        <f t="shared" si="34"/>
        <v>Tuesday</v>
      </c>
      <c r="L384" s="3">
        <v>2</v>
      </c>
      <c r="M384" s="3" t="str">
        <f t="shared" si="35"/>
        <v>Mild Cloudy</v>
      </c>
      <c r="N384" s="3">
        <v>0.16</v>
      </c>
      <c r="O384">
        <f t="shared" si="36"/>
        <v>16</v>
      </c>
    </row>
    <row r="385" spans="1:15" ht="13.2" x14ac:dyDescent="0.25">
      <c r="A385" s="3">
        <v>384</v>
      </c>
      <c r="B385" s="4">
        <v>40560</v>
      </c>
      <c r="C385" s="3">
        <v>1</v>
      </c>
      <c r="D385" s="3">
        <f t="shared" si="32"/>
        <v>2011</v>
      </c>
      <c r="E385" s="3">
        <v>1</v>
      </c>
      <c r="F385" s="3">
        <v>11</v>
      </c>
      <c r="G385" s="3" t="str">
        <f t="shared" si="33"/>
        <v>Morning</v>
      </c>
      <c r="H385" s="3" t="b">
        <v>1</v>
      </c>
      <c r="I385" s="3" t="str">
        <f t="shared" si="31"/>
        <v>Holiday</v>
      </c>
      <c r="J385" s="3">
        <v>1</v>
      </c>
      <c r="K385" s="3" t="str">
        <f t="shared" si="34"/>
        <v>Tuesday</v>
      </c>
      <c r="L385" s="3">
        <v>2</v>
      </c>
      <c r="M385" s="3" t="str">
        <f t="shared" si="35"/>
        <v>Mild Cloudy</v>
      </c>
      <c r="N385" s="3">
        <v>0.16</v>
      </c>
      <c r="O385">
        <f t="shared" si="36"/>
        <v>16</v>
      </c>
    </row>
    <row r="386" spans="1:15" ht="13.2" x14ac:dyDescent="0.25">
      <c r="A386" s="3">
        <v>385</v>
      </c>
      <c r="B386" s="4">
        <v>40560</v>
      </c>
      <c r="C386" s="3">
        <v>1</v>
      </c>
      <c r="D386" s="3">
        <f t="shared" si="32"/>
        <v>2011</v>
      </c>
      <c r="E386" s="3">
        <v>1</v>
      </c>
      <c r="F386" s="3">
        <v>12</v>
      </c>
      <c r="G386" s="3" t="str">
        <f t="shared" si="33"/>
        <v>Afternoon</v>
      </c>
      <c r="H386" s="3" t="b">
        <v>1</v>
      </c>
      <c r="I386" s="3" t="str">
        <f t="shared" ref="I386:I449" si="37">IF(H386=TRUE,"Holiday","Working day")</f>
        <v>Holiday</v>
      </c>
      <c r="J386" s="3">
        <v>1</v>
      </c>
      <c r="K386" s="3" t="str">
        <f t="shared" si="34"/>
        <v>Tuesday</v>
      </c>
      <c r="L386" s="3">
        <v>2</v>
      </c>
      <c r="M386" s="3" t="str">
        <f t="shared" si="35"/>
        <v>Mild Cloudy</v>
      </c>
      <c r="N386" s="3">
        <v>0.18</v>
      </c>
      <c r="O386">
        <f t="shared" si="36"/>
        <v>18</v>
      </c>
    </row>
    <row r="387" spans="1:15" ht="13.2" x14ac:dyDescent="0.25">
      <c r="A387" s="3">
        <v>386</v>
      </c>
      <c r="B387" s="4">
        <v>40560</v>
      </c>
      <c r="C387" s="3">
        <v>1</v>
      </c>
      <c r="D387" s="3">
        <f t="shared" ref="D387:D450" si="38">YEAR(B387)</f>
        <v>2011</v>
      </c>
      <c r="E387" s="3">
        <v>1</v>
      </c>
      <c r="F387" s="3">
        <v>13</v>
      </c>
      <c r="G387" s="3" t="str">
        <f t="shared" ref="G387:G450" si="39">IF(AND(F387&gt;=0,F387&lt;6),"Night",IF(AND(F387&gt;=6,F387&lt;12),"Morning",IF(AND(F387&lt;18),"Afternoon","Evening")))</f>
        <v>Afternoon</v>
      </c>
      <c r="H387" s="3" t="b">
        <v>1</v>
      </c>
      <c r="I387" s="3" t="str">
        <f t="shared" si="37"/>
        <v>Holiday</v>
      </c>
      <c r="J387" s="3">
        <v>1</v>
      </c>
      <c r="K387" s="3" t="str">
        <f t="shared" ref="K387:K450" si="40">CHOOSE(J387+1,"Monday","Tuesday","Wednesday","Thursday","Friday","Saturday","Sunday")</f>
        <v>Tuesday</v>
      </c>
      <c r="L387" s="3">
        <v>2</v>
      </c>
      <c r="M387" s="3" t="str">
        <f t="shared" ref="M387:M450" si="41">IF(L387=1,"Nice weather", IF(L387=2,"Mild Cloudy", IF(L387=3,"Dark Cloudy", IF(L387=4,"Thunderstrome","unknown"))))</f>
        <v>Mild Cloudy</v>
      </c>
      <c r="N387" s="3">
        <v>0.18</v>
      </c>
      <c r="O387">
        <f t="shared" ref="O387:O450" si="42">N387*100</f>
        <v>18</v>
      </c>
    </row>
    <row r="388" spans="1:15" ht="13.2" x14ac:dyDescent="0.25">
      <c r="A388" s="3">
        <v>387</v>
      </c>
      <c r="B388" s="4">
        <v>40560</v>
      </c>
      <c r="C388" s="3">
        <v>1</v>
      </c>
      <c r="D388" s="3">
        <f t="shared" si="38"/>
        <v>2011</v>
      </c>
      <c r="E388" s="3">
        <v>1</v>
      </c>
      <c r="F388" s="3">
        <v>14</v>
      </c>
      <c r="G388" s="3" t="str">
        <f t="shared" si="39"/>
        <v>Afternoon</v>
      </c>
      <c r="H388" s="3" t="b">
        <v>1</v>
      </c>
      <c r="I388" s="3" t="str">
        <f t="shared" si="37"/>
        <v>Holiday</v>
      </c>
      <c r="J388" s="3">
        <v>1</v>
      </c>
      <c r="K388" s="3" t="str">
        <f t="shared" si="40"/>
        <v>Tuesday</v>
      </c>
      <c r="L388" s="3">
        <v>2</v>
      </c>
      <c r="M388" s="3" t="str">
        <f t="shared" si="41"/>
        <v>Mild Cloudy</v>
      </c>
      <c r="N388" s="3">
        <v>0.18</v>
      </c>
      <c r="O388">
        <f t="shared" si="42"/>
        <v>18</v>
      </c>
    </row>
    <row r="389" spans="1:15" ht="13.2" x14ac:dyDescent="0.25">
      <c r="A389" s="3">
        <v>388</v>
      </c>
      <c r="B389" s="4">
        <v>40560</v>
      </c>
      <c r="C389" s="3">
        <v>1</v>
      </c>
      <c r="D389" s="3">
        <f t="shared" si="38"/>
        <v>2011</v>
      </c>
      <c r="E389" s="3">
        <v>1</v>
      </c>
      <c r="F389" s="3">
        <v>15</v>
      </c>
      <c r="G389" s="3" t="str">
        <f t="shared" si="39"/>
        <v>Afternoon</v>
      </c>
      <c r="H389" s="3" t="b">
        <v>1</v>
      </c>
      <c r="I389" s="3" t="str">
        <f t="shared" si="37"/>
        <v>Holiday</v>
      </c>
      <c r="J389" s="3">
        <v>1</v>
      </c>
      <c r="K389" s="3" t="str">
        <f t="shared" si="40"/>
        <v>Tuesday</v>
      </c>
      <c r="L389" s="3">
        <v>2</v>
      </c>
      <c r="M389" s="3" t="str">
        <f t="shared" si="41"/>
        <v>Mild Cloudy</v>
      </c>
      <c r="N389" s="3">
        <v>0.2</v>
      </c>
      <c r="O389">
        <f t="shared" si="42"/>
        <v>20</v>
      </c>
    </row>
    <row r="390" spans="1:15" ht="13.2" x14ac:dyDescent="0.25">
      <c r="A390" s="3">
        <v>389</v>
      </c>
      <c r="B390" s="4">
        <v>40560</v>
      </c>
      <c r="C390" s="3">
        <v>1</v>
      </c>
      <c r="D390" s="3">
        <f t="shared" si="38"/>
        <v>2011</v>
      </c>
      <c r="E390" s="3">
        <v>1</v>
      </c>
      <c r="F390" s="3">
        <v>16</v>
      </c>
      <c r="G390" s="3" t="str">
        <f t="shared" si="39"/>
        <v>Afternoon</v>
      </c>
      <c r="H390" s="3" t="b">
        <v>1</v>
      </c>
      <c r="I390" s="3" t="str">
        <f t="shared" si="37"/>
        <v>Holiday</v>
      </c>
      <c r="J390" s="3">
        <v>1</v>
      </c>
      <c r="K390" s="3" t="str">
        <f t="shared" si="40"/>
        <v>Tuesday</v>
      </c>
      <c r="L390" s="3">
        <v>2</v>
      </c>
      <c r="M390" s="3" t="str">
        <f t="shared" si="41"/>
        <v>Mild Cloudy</v>
      </c>
      <c r="N390" s="3">
        <v>0.2</v>
      </c>
      <c r="O390">
        <f t="shared" si="42"/>
        <v>20</v>
      </c>
    </row>
    <row r="391" spans="1:15" ht="13.2" x14ac:dyDescent="0.25">
      <c r="A391" s="3">
        <v>390</v>
      </c>
      <c r="B391" s="4">
        <v>40560</v>
      </c>
      <c r="C391" s="3">
        <v>1</v>
      </c>
      <c r="D391" s="3">
        <f t="shared" si="38"/>
        <v>2011</v>
      </c>
      <c r="E391" s="3">
        <v>1</v>
      </c>
      <c r="F391" s="3">
        <v>17</v>
      </c>
      <c r="G391" s="3" t="str">
        <f t="shared" si="39"/>
        <v>Afternoon</v>
      </c>
      <c r="H391" s="3" t="b">
        <v>1</v>
      </c>
      <c r="I391" s="3" t="str">
        <f t="shared" si="37"/>
        <v>Holiday</v>
      </c>
      <c r="J391" s="3">
        <v>1</v>
      </c>
      <c r="K391" s="3" t="str">
        <f t="shared" si="40"/>
        <v>Tuesday</v>
      </c>
      <c r="L391" s="3">
        <v>1</v>
      </c>
      <c r="M391" s="3" t="str">
        <f t="shared" si="41"/>
        <v>Nice weather</v>
      </c>
      <c r="N391" s="3">
        <v>0.2</v>
      </c>
      <c r="O391">
        <f t="shared" si="42"/>
        <v>20</v>
      </c>
    </row>
    <row r="392" spans="1:15" ht="13.2" x14ac:dyDescent="0.25">
      <c r="A392" s="3">
        <v>391</v>
      </c>
      <c r="B392" s="4">
        <v>40560</v>
      </c>
      <c r="C392" s="3">
        <v>1</v>
      </c>
      <c r="D392" s="3">
        <f t="shared" si="38"/>
        <v>2011</v>
      </c>
      <c r="E392" s="3">
        <v>1</v>
      </c>
      <c r="F392" s="3">
        <v>18</v>
      </c>
      <c r="G392" s="3" t="str">
        <f t="shared" si="39"/>
        <v>Evening</v>
      </c>
      <c r="H392" s="3" t="b">
        <v>1</v>
      </c>
      <c r="I392" s="3" t="str">
        <f t="shared" si="37"/>
        <v>Holiday</v>
      </c>
      <c r="J392" s="3">
        <v>1</v>
      </c>
      <c r="K392" s="3" t="str">
        <f t="shared" si="40"/>
        <v>Tuesday</v>
      </c>
      <c r="L392" s="3">
        <v>2</v>
      </c>
      <c r="M392" s="3" t="str">
        <f t="shared" si="41"/>
        <v>Mild Cloudy</v>
      </c>
      <c r="N392" s="3">
        <v>0.18</v>
      </c>
      <c r="O392">
        <f t="shared" si="42"/>
        <v>18</v>
      </c>
    </row>
    <row r="393" spans="1:15" ht="13.2" x14ac:dyDescent="0.25">
      <c r="A393" s="3">
        <v>392</v>
      </c>
      <c r="B393" s="4">
        <v>40560</v>
      </c>
      <c r="C393" s="3">
        <v>1</v>
      </c>
      <c r="D393" s="3">
        <f t="shared" si="38"/>
        <v>2011</v>
      </c>
      <c r="E393" s="3">
        <v>1</v>
      </c>
      <c r="F393" s="3">
        <v>19</v>
      </c>
      <c r="G393" s="3" t="str">
        <f t="shared" si="39"/>
        <v>Evening</v>
      </c>
      <c r="H393" s="3" t="b">
        <v>1</v>
      </c>
      <c r="I393" s="3" t="str">
        <f t="shared" si="37"/>
        <v>Holiday</v>
      </c>
      <c r="J393" s="3">
        <v>1</v>
      </c>
      <c r="K393" s="3" t="str">
        <f t="shared" si="40"/>
        <v>Tuesday</v>
      </c>
      <c r="L393" s="3">
        <v>3</v>
      </c>
      <c r="M393" s="3" t="str">
        <f t="shared" si="41"/>
        <v>Dark Cloudy</v>
      </c>
      <c r="N393" s="3">
        <v>0.18</v>
      </c>
      <c r="O393">
        <f t="shared" si="42"/>
        <v>18</v>
      </c>
    </row>
    <row r="394" spans="1:15" ht="13.2" x14ac:dyDescent="0.25">
      <c r="A394" s="3">
        <v>393</v>
      </c>
      <c r="B394" s="4">
        <v>40560</v>
      </c>
      <c r="C394" s="3">
        <v>1</v>
      </c>
      <c r="D394" s="3">
        <f t="shared" si="38"/>
        <v>2011</v>
      </c>
      <c r="E394" s="3">
        <v>1</v>
      </c>
      <c r="F394" s="3">
        <v>20</v>
      </c>
      <c r="G394" s="3" t="str">
        <f t="shared" si="39"/>
        <v>Evening</v>
      </c>
      <c r="H394" s="3" t="b">
        <v>1</v>
      </c>
      <c r="I394" s="3" t="str">
        <f t="shared" si="37"/>
        <v>Holiday</v>
      </c>
      <c r="J394" s="3">
        <v>1</v>
      </c>
      <c r="K394" s="3" t="str">
        <f t="shared" si="40"/>
        <v>Tuesday</v>
      </c>
      <c r="L394" s="3">
        <v>3</v>
      </c>
      <c r="M394" s="3" t="str">
        <f t="shared" si="41"/>
        <v>Dark Cloudy</v>
      </c>
      <c r="N394" s="3">
        <v>0.16</v>
      </c>
      <c r="O394">
        <f t="shared" si="42"/>
        <v>16</v>
      </c>
    </row>
    <row r="395" spans="1:15" ht="13.2" x14ac:dyDescent="0.25">
      <c r="A395" s="3">
        <v>394</v>
      </c>
      <c r="B395" s="4">
        <v>40560</v>
      </c>
      <c r="C395" s="3">
        <v>1</v>
      </c>
      <c r="D395" s="3">
        <f t="shared" si="38"/>
        <v>2011</v>
      </c>
      <c r="E395" s="3">
        <v>1</v>
      </c>
      <c r="F395" s="3">
        <v>21</v>
      </c>
      <c r="G395" s="3" t="str">
        <f t="shared" si="39"/>
        <v>Evening</v>
      </c>
      <c r="H395" s="3" t="b">
        <v>1</v>
      </c>
      <c r="I395" s="3" t="str">
        <f t="shared" si="37"/>
        <v>Holiday</v>
      </c>
      <c r="J395" s="3">
        <v>1</v>
      </c>
      <c r="K395" s="3" t="str">
        <f t="shared" si="40"/>
        <v>Tuesday</v>
      </c>
      <c r="L395" s="3">
        <v>3</v>
      </c>
      <c r="M395" s="3" t="str">
        <f t="shared" si="41"/>
        <v>Dark Cloudy</v>
      </c>
      <c r="N395" s="3">
        <v>0.16</v>
      </c>
      <c r="O395">
        <f t="shared" si="42"/>
        <v>16</v>
      </c>
    </row>
    <row r="396" spans="1:15" ht="13.2" x14ac:dyDescent="0.25">
      <c r="A396" s="3">
        <v>395</v>
      </c>
      <c r="B396" s="4">
        <v>40560</v>
      </c>
      <c r="C396" s="3">
        <v>1</v>
      </c>
      <c r="D396" s="3">
        <f t="shared" si="38"/>
        <v>2011</v>
      </c>
      <c r="E396" s="3">
        <v>1</v>
      </c>
      <c r="F396" s="3">
        <v>22</v>
      </c>
      <c r="G396" s="3" t="str">
        <f t="shared" si="39"/>
        <v>Evening</v>
      </c>
      <c r="H396" s="3" t="b">
        <v>1</v>
      </c>
      <c r="I396" s="3" t="str">
        <f t="shared" si="37"/>
        <v>Holiday</v>
      </c>
      <c r="J396" s="3">
        <v>1</v>
      </c>
      <c r="K396" s="3" t="str">
        <f t="shared" si="40"/>
        <v>Tuesday</v>
      </c>
      <c r="L396" s="3">
        <v>3</v>
      </c>
      <c r="M396" s="3" t="str">
        <f t="shared" si="41"/>
        <v>Dark Cloudy</v>
      </c>
      <c r="N396" s="3">
        <v>0.14000000000000001</v>
      </c>
      <c r="O396">
        <f t="shared" si="42"/>
        <v>14.000000000000002</v>
      </c>
    </row>
    <row r="397" spans="1:15" ht="13.2" x14ac:dyDescent="0.25">
      <c r="A397" s="3">
        <v>396</v>
      </c>
      <c r="B397" s="4">
        <v>40560</v>
      </c>
      <c r="C397" s="3">
        <v>1</v>
      </c>
      <c r="D397" s="3">
        <f t="shared" si="38"/>
        <v>2011</v>
      </c>
      <c r="E397" s="3">
        <v>1</v>
      </c>
      <c r="F397" s="3">
        <v>23</v>
      </c>
      <c r="G397" s="3" t="str">
        <f t="shared" si="39"/>
        <v>Evening</v>
      </c>
      <c r="H397" s="3" t="b">
        <v>1</v>
      </c>
      <c r="I397" s="3" t="str">
        <f t="shared" si="37"/>
        <v>Holiday</v>
      </c>
      <c r="J397" s="3">
        <v>1</v>
      </c>
      <c r="K397" s="3" t="str">
        <f t="shared" si="40"/>
        <v>Tuesday</v>
      </c>
      <c r="L397" s="3">
        <v>3</v>
      </c>
      <c r="M397" s="3" t="str">
        <f t="shared" si="41"/>
        <v>Dark Cloudy</v>
      </c>
      <c r="N397" s="3">
        <v>0.16</v>
      </c>
      <c r="O397">
        <f t="shared" si="42"/>
        <v>16</v>
      </c>
    </row>
    <row r="398" spans="1:15" ht="13.2" x14ac:dyDescent="0.25">
      <c r="A398" s="3">
        <v>397</v>
      </c>
      <c r="B398" s="4">
        <v>40561</v>
      </c>
      <c r="C398" s="3">
        <v>1</v>
      </c>
      <c r="D398" s="3">
        <f t="shared" si="38"/>
        <v>2011</v>
      </c>
      <c r="E398" s="3">
        <v>1</v>
      </c>
      <c r="F398" s="3">
        <v>12</v>
      </c>
      <c r="G398" s="3" t="str">
        <f t="shared" si="39"/>
        <v>Afternoon</v>
      </c>
      <c r="H398" s="3" t="b">
        <v>0</v>
      </c>
      <c r="I398" s="3" t="str">
        <f t="shared" si="37"/>
        <v>Working day</v>
      </c>
      <c r="J398" s="3">
        <v>2</v>
      </c>
      <c r="K398" s="3" t="str">
        <f t="shared" si="40"/>
        <v>Wednesday</v>
      </c>
      <c r="L398" s="3">
        <v>2</v>
      </c>
      <c r="M398" s="3" t="str">
        <f t="shared" si="41"/>
        <v>Mild Cloudy</v>
      </c>
      <c r="N398" s="3">
        <v>0.2</v>
      </c>
      <c r="O398">
        <f t="shared" si="42"/>
        <v>20</v>
      </c>
    </row>
    <row r="399" spans="1:15" ht="13.2" x14ac:dyDescent="0.25">
      <c r="A399" s="3">
        <v>398</v>
      </c>
      <c r="B399" s="4">
        <v>40561</v>
      </c>
      <c r="C399" s="3">
        <v>1</v>
      </c>
      <c r="D399" s="3">
        <f t="shared" si="38"/>
        <v>2011</v>
      </c>
      <c r="E399" s="3">
        <v>1</v>
      </c>
      <c r="F399" s="3">
        <v>13</v>
      </c>
      <c r="G399" s="3" t="str">
        <f t="shared" si="39"/>
        <v>Afternoon</v>
      </c>
      <c r="H399" s="3" t="b">
        <v>0</v>
      </c>
      <c r="I399" s="3" t="str">
        <f t="shared" si="37"/>
        <v>Working day</v>
      </c>
      <c r="J399" s="3">
        <v>2</v>
      </c>
      <c r="K399" s="3" t="str">
        <f t="shared" si="40"/>
        <v>Wednesday</v>
      </c>
      <c r="L399" s="3">
        <v>2</v>
      </c>
      <c r="M399" s="3" t="str">
        <f t="shared" si="41"/>
        <v>Mild Cloudy</v>
      </c>
      <c r="N399" s="3">
        <v>0.2</v>
      </c>
      <c r="O399">
        <f t="shared" si="42"/>
        <v>20</v>
      </c>
    </row>
    <row r="400" spans="1:15" ht="13.2" x14ac:dyDescent="0.25">
      <c r="A400" s="3">
        <v>399</v>
      </c>
      <c r="B400" s="4">
        <v>40561</v>
      </c>
      <c r="C400" s="3">
        <v>1</v>
      </c>
      <c r="D400" s="3">
        <f t="shared" si="38"/>
        <v>2011</v>
      </c>
      <c r="E400" s="3">
        <v>1</v>
      </c>
      <c r="F400" s="3">
        <v>14</v>
      </c>
      <c r="G400" s="3" t="str">
        <f t="shared" si="39"/>
        <v>Afternoon</v>
      </c>
      <c r="H400" s="3" t="b">
        <v>0</v>
      </c>
      <c r="I400" s="3" t="str">
        <f t="shared" si="37"/>
        <v>Working day</v>
      </c>
      <c r="J400" s="3">
        <v>2</v>
      </c>
      <c r="K400" s="3" t="str">
        <f t="shared" si="40"/>
        <v>Wednesday</v>
      </c>
      <c r="L400" s="3">
        <v>2</v>
      </c>
      <c r="M400" s="3" t="str">
        <f t="shared" si="41"/>
        <v>Mild Cloudy</v>
      </c>
      <c r="N400" s="3">
        <v>0.22</v>
      </c>
      <c r="O400">
        <f t="shared" si="42"/>
        <v>22</v>
      </c>
    </row>
    <row r="401" spans="1:15" ht="13.2" x14ac:dyDescent="0.25">
      <c r="A401" s="3">
        <v>400</v>
      </c>
      <c r="B401" s="4">
        <v>40561</v>
      </c>
      <c r="C401" s="3">
        <v>1</v>
      </c>
      <c r="D401" s="3">
        <f t="shared" si="38"/>
        <v>2011</v>
      </c>
      <c r="E401" s="3">
        <v>1</v>
      </c>
      <c r="F401" s="3">
        <v>15</v>
      </c>
      <c r="G401" s="3" t="str">
        <f t="shared" si="39"/>
        <v>Afternoon</v>
      </c>
      <c r="H401" s="3" t="b">
        <v>0</v>
      </c>
      <c r="I401" s="3" t="str">
        <f t="shared" si="37"/>
        <v>Working day</v>
      </c>
      <c r="J401" s="3">
        <v>2</v>
      </c>
      <c r="K401" s="3" t="str">
        <f t="shared" si="40"/>
        <v>Wednesday</v>
      </c>
      <c r="L401" s="3">
        <v>2</v>
      </c>
      <c r="M401" s="3" t="str">
        <f t="shared" si="41"/>
        <v>Mild Cloudy</v>
      </c>
      <c r="N401" s="3">
        <v>0.22</v>
      </c>
      <c r="O401">
        <f t="shared" si="42"/>
        <v>22</v>
      </c>
    </row>
    <row r="402" spans="1:15" ht="13.2" x14ac:dyDescent="0.25">
      <c r="A402" s="3">
        <v>401</v>
      </c>
      <c r="B402" s="4">
        <v>40561</v>
      </c>
      <c r="C402" s="3">
        <v>1</v>
      </c>
      <c r="D402" s="3">
        <f t="shared" si="38"/>
        <v>2011</v>
      </c>
      <c r="E402" s="3">
        <v>1</v>
      </c>
      <c r="F402" s="3">
        <v>16</v>
      </c>
      <c r="G402" s="3" t="str">
        <f t="shared" si="39"/>
        <v>Afternoon</v>
      </c>
      <c r="H402" s="3" t="b">
        <v>0</v>
      </c>
      <c r="I402" s="3" t="str">
        <f t="shared" si="37"/>
        <v>Working day</v>
      </c>
      <c r="J402" s="3">
        <v>2</v>
      </c>
      <c r="K402" s="3" t="str">
        <f t="shared" si="40"/>
        <v>Wednesday</v>
      </c>
      <c r="L402" s="3">
        <v>2</v>
      </c>
      <c r="M402" s="3" t="str">
        <f t="shared" si="41"/>
        <v>Mild Cloudy</v>
      </c>
      <c r="N402" s="3">
        <v>0.22</v>
      </c>
      <c r="O402">
        <f t="shared" si="42"/>
        <v>22</v>
      </c>
    </row>
    <row r="403" spans="1:15" ht="13.2" x14ac:dyDescent="0.25">
      <c r="A403" s="3">
        <v>402</v>
      </c>
      <c r="B403" s="4">
        <v>40561</v>
      </c>
      <c r="C403" s="3">
        <v>1</v>
      </c>
      <c r="D403" s="3">
        <f t="shared" si="38"/>
        <v>2011</v>
      </c>
      <c r="E403" s="3">
        <v>1</v>
      </c>
      <c r="F403" s="3">
        <v>17</v>
      </c>
      <c r="G403" s="3" t="str">
        <f t="shared" si="39"/>
        <v>Afternoon</v>
      </c>
      <c r="H403" s="3" t="b">
        <v>0</v>
      </c>
      <c r="I403" s="3" t="str">
        <f t="shared" si="37"/>
        <v>Working day</v>
      </c>
      <c r="J403" s="3">
        <v>2</v>
      </c>
      <c r="K403" s="3" t="str">
        <f t="shared" si="40"/>
        <v>Wednesday</v>
      </c>
      <c r="L403" s="3">
        <v>2</v>
      </c>
      <c r="M403" s="3" t="str">
        <f t="shared" si="41"/>
        <v>Mild Cloudy</v>
      </c>
      <c r="N403" s="3">
        <v>0.22</v>
      </c>
      <c r="O403">
        <f t="shared" si="42"/>
        <v>22</v>
      </c>
    </row>
    <row r="404" spans="1:15" ht="13.2" x14ac:dyDescent="0.25">
      <c r="A404" s="3">
        <v>403</v>
      </c>
      <c r="B404" s="4">
        <v>40561</v>
      </c>
      <c r="C404" s="3">
        <v>1</v>
      </c>
      <c r="D404" s="3">
        <f t="shared" si="38"/>
        <v>2011</v>
      </c>
      <c r="E404" s="3">
        <v>1</v>
      </c>
      <c r="F404" s="3">
        <v>18</v>
      </c>
      <c r="G404" s="3" t="str">
        <f t="shared" si="39"/>
        <v>Evening</v>
      </c>
      <c r="H404" s="3" t="b">
        <v>0</v>
      </c>
      <c r="I404" s="3" t="str">
        <f t="shared" si="37"/>
        <v>Working day</v>
      </c>
      <c r="J404" s="3">
        <v>2</v>
      </c>
      <c r="K404" s="3" t="str">
        <f t="shared" si="40"/>
        <v>Wednesday</v>
      </c>
      <c r="L404" s="3">
        <v>2</v>
      </c>
      <c r="M404" s="3" t="str">
        <f t="shared" si="41"/>
        <v>Mild Cloudy</v>
      </c>
      <c r="N404" s="3">
        <v>0.22</v>
      </c>
      <c r="O404">
        <f t="shared" si="42"/>
        <v>22</v>
      </c>
    </row>
    <row r="405" spans="1:15" ht="13.2" x14ac:dyDescent="0.25">
      <c r="A405" s="3">
        <v>404</v>
      </c>
      <c r="B405" s="4">
        <v>40561</v>
      </c>
      <c r="C405" s="3">
        <v>1</v>
      </c>
      <c r="D405" s="3">
        <f t="shared" si="38"/>
        <v>2011</v>
      </c>
      <c r="E405" s="3">
        <v>1</v>
      </c>
      <c r="F405" s="3">
        <v>19</v>
      </c>
      <c r="G405" s="3" t="str">
        <f t="shared" si="39"/>
        <v>Evening</v>
      </c>
      <c r="H405" s="3" t="b">
        <v>0</v>
      </c>
      <c r="I405" s="3" t="str">
        <f t="shared" si="37"/>
        <v>Working day</v>
      </c>
      <c r="J405" s="3">
        <v>2</v>
      </c>
      <c r="K405" s="3" t="str">
        <f t="shared" si="40"/>
        <v>Wednesday</v>
      </c>
      <c r="L405" s="3">
        <v>2</v>
      </c>
      <c r="M405" s="3" t="str">
        <f t="shared" si="41"/>
        <v>Mild Cloudy</v>
      </c>
      <c r="N405" s="3">
        <v>0.22</v>
      </c>
      <c r="O405">
        <f t="shared" si="42"/>
        <v>22</v>
      </c>
    </row>
    <row r="406" spans="1:15" ht="13.2" x14ac:dyDescent="0.25">
      <c r="A406" s="3">
        <v>405</v>
      </c>
      <c r="B406" s="4">
        <v>40561</v>
      </c>
      <c r="C406" s="3">
        <v>1</v>
      </c>
      <c r="D406" s="3">
        <f t="shared" si="38"/>
        <v>2011</v>
      </c>
      <c r="E406" s="3">
        <v>1</v>
      </c>
      <c r="F406" s="3">
        <v>20</v>
      </c>
      <c r="G406" s="3" t="str">
        <f t="shared" si="39"/>
        <v>Evening</v>
      </c>
      <c r="H406" s="3" t="b">
        <v>0</v>
      </c>
      <c r="I406" s="3" t="str">
        <f t="shared" si="37"/>
        <v>Working day</v>
      </c>
      <c r="J406" s="3">
        <v>2</v>
      </c>
      <c r="K406" s="3" t="str">
        <f t="shared" si="40"/>
        <v>Wednesday</v>
      </c>
      <c r="L406" s="3">
        <v>2</v>
      </c>
      <c r="M406" s="3" t="str">
        <f t="shared" si="41"/>
        <v>Mild Cloudy</v>
      </c>
      <c r="N406" s="3">
        <v>0.22</v>
      </c>
      <c r="O406">
        <f t="shared" si="42"/>
        <v>22</v>
      </c>
    </row>
    <row r="407" spans="1:15" ht="13.2" x14ac:dyDescent="0.25">
      <c r="A407" s="3">
        <v>406</v>
      </c>
      <c r="B407" s="4">
        <v>40561</v>
      </c>
      <c r="C407" s="3">
        <v>1</v>
      </c>
      <c r="D407" s="3">
        <f t="shared" si="38"/>
        <v>2011</v>
      </c>
      <c r="E407" s="3">
        <v>1</v>
      </c>
      <c r="F407" s="3">
        <v>21</v>
      </c>
      <c r="G407" s="3" t="str">
        <f t="shared" si="39"/>
        <v>Evening</v>
      </c>
      <c r="H407" s="3" t="b">
        <v>0</v>
      </c>
      <c r="I407" s="3" t="str">
        <f t="shared" si="37"/>
        <v>Working day</v>
      </c>
      <c r="J407" s="3">
        <v>2</v>
      </c>
      <c r="K407" s="3" t="str">
        <f t="shared" si="40"/>
        <v>Wednesday</v>
      </c>
      <c r="L407" s="3">
        <v>2</v>
      </c>
      <c r="M407" s="3" t="str">
        <f t="shared" si="41"/>
        <v>Mild Cloudy</v>
      </c>
      <c r="N407" s="3">
        <v>0.22</v>
      </c>
      <c r="O407">
        <f t="shared" si="42"/>
        <v>22</v>
      </c>
    </row>
    <row r="408" spans="1:15" ht="13.2" x14ac:dyDescent="0.25">
      <c r="A408" s="3">
        <v>407</v>
      </c>
      <c r="B408" s="4">
        <v>40561</v>
      </c>
      <c r="C408" s="3">
        <v>1</v>
      </c>
      <c r="D408" s="3">
        <f t="shared" si="38"/>
        <v>2011</v>
      </c>
      <c r="E408" s="3">
        <v>1</v>
      </c>
      <c r="F408" s="3">
        <v>22</v>
      </c>
      <c r="G408" s="3" t="str">
        <f t="shared" si="39"/>
        <v>Evening</v>
      </c>
      <c r="H408" s="3" t="b">
        <v>0</v>
      </c>
      <c r="I408" s="3" t="str">
        <f t="shared" si="37"/>
        <v>Working day</v>
      </c>
      <c r="J408" s="3">
        <v>2</v>
      </c>
      <c r="K408" s="3" t="str">
        <f t="shared" si="40"/>
        <v>Wednesday</v>
      </c>
      <c r="L408" s="3">
        <v>2</v>
      </c>
      <c r="M408" s="3" t="str">
        <f t="shared" si="41"/>
        <v>Mild Cloudy</v>
      </c>
      <c r="N408" s="3">
        <v>0.22</v>
      </c>
      <c r="O408">
        <f t="shared" si="42"/>
        <v>22</v>
      </c>
    </row>
    <row r="409" spans="1:15" ht="13.2" x14ac:dyDescent="0.25">
      <c r="A409" s="3">
        <v>408</v>
      </c>
      <c r="B409" s="4">
        <v>40561</v>
      </c>
      <c r="C409" s="3">
        <v>1</v>
      </c>
      <c r="D409" s="3">
        <f t="shared" si="38"/>
        <v>2011</v>
      </c>
      <c r="E409" s="3">
        <v>1</v>
      </c>
      <c r="F409" s="3">
        <v>23</v>
      </c>
      <c r="G409" s="3" t="str">
        <f t="shared" si="39"/>
        <v>Evening</v>
      </c>
      <c r="H409" s="3" t="b">
        <v>0</v>
      </c>
      <c r="I409" s="3" t="str">
        <f t="shared" si="37"/>
        <v>Working day</v>
      </c>
      <c r="J409" s="3">
        <v>2</v>
      </c>
      <c r="K409" s="3" t="str">
        <f t="shared" si="40"/>
        <v>Wednesday</v>
      </c>
      <c r="L409" s="3">
        <v>2</v>
      </c>
      <c r="M409" s="3" t="str">
        <f t="shared" si="41"/>
        <v>Mild Cloudy</v>
      </c>
      <c r="N409" s="3">
        <v>0.22</v>
      </c>
      <c r="O409">
        <f t="shared" si="42"/>
        <v>22</v>
      </c>
    </row>
    <row r="410" spans="1:15" ht="13.2" x14ac:dyDescent="0.25">
      <c r="A410" s="3">
        <v>409</v>
      </c>
      <c r="B410" s="4">
        <v>40562</v>
      </c>
      <c r="C410" s="3">
        <v>1</v>
      </c>
      <c r="D410" s="3">
        <f t="shared" si="38"/>
        <v>2011</v>
      </c>
      <c r="E410" s="3">
        <v>1</v>
      </c>
      <c r="F410" s="3">
        <v>0</v>
      </c>
      <c r="G410" s="3" t="str">
        <f t="shared" si="39"/>
        <v>Night</v>
      </c>
      <c r="H410" s="3" t="b">
        <v>0</v>
      </c>
      <c r="I410" s="3" t="str">
        <f t="shared" si="37"/>
        <v>Working day</v>
      </c>
      <c r="J410" s="3">
        <v>3</v>
      </c>
      <c r="K410" s="3" t="str">
        <f t="shared" si="40"/>
        <v>Thursday</v>
      </c>
      <c r="L410" s="3">
        <v>2</v>
      </c>
      <c r="M410" s="3" t="str">
        <f t="shared" si="41"/>
        <v>Mild Cloudy</v>
      </c>
      <c r="N410" s="3">
        <v>0.22</v>
      </c>
      <c r="O410">
        <f t="shared" si="42"/>
        <v>22</v>
      </c>
    </row>
    <row r="411" spans="1:15" ht="13.2" x14ac:dyDescent="0.25">
      <c r="A411" s="3">
        <v>410</v>
      </c>
      <c r="B411" s="4">
        <v>40562</v>
      </c>
      <c r="C411" s="3">
        <v>1</v>
      </c>
      <c r="D411" s="3">
        <f t="shared" si="38"/>
        <v>2011</v>
      </c>
      <c r="E411" s="3">
        <v>1</v>
      </c>
      <c r="F411" s="3">
        <v>1</v>
      </c>
      <c r="G411" s="3" t="str">
        <f t="shared" si="39"/>
        <v>Night</v>
      </c>
      <c r="H411" s="3" t="b">
        <v>0</v>
      </c>
      <c r="I411" s="3" t="str">
        <f t="shared" si="37"/>
        <v>Working day</v>
      </c>
      <c r="J411" s="3">
        <v>3</v>
      </c>
      <c r="K411" s="3" t="str">
        <f t="shared" si="40"/>
        <v>Thursday</v>
      </c>
      <c r="L411" s="3">
        <v>3</v>
      </c>
      <c r="M411" s="3" t="str">
        <f t="shared" si="41"/>
        <v>Dark Cloudy</v>
      </c>
      <c r="N411" s="3">
        <v>0.22</v>
      </c>
      <c r="O411">
        <f t="shared" si="42"/>
        <v>22</v>
      </c>
    </row>
    <row r="412" spans="1:15" ht="13.2" x14ac:dyDescent="0.25">
      <c r="A412" s="3">
        <v>411</v>
      </c>
      <c r="B412" s="4">
        <v>40562</v>
      </c>
      <c r="C412" s="3">
        <v>1</v>
      </c>
      <c r="D412" s="3">
        <f t="shared" si="38"/>
        <v>2011</v>
      </c>
      <c r="E412" s="3">
        <v>1</v>
      </c>
      <c r="F412" s="3">
        <v>2</v>
      </c>
      <c r="G412" s="3" t="str">
        <f t="shared" si="39"/>
        <v>Night</v>
      </c>
      <c r="H412" s="3" t="b">
        <v>0</v>
      </c>
      <c r="I412" s="3" t="str">
        <f t="shared" si="37"/>
        <v>Working day</v>
      </c>
      <c r="J412" s="3">
        <v>3</v>
      </c>
      <c r="K412" s="3" t="str">
        <f t="shared" si="40"/>
        <v>Thursday</v>
      </c>
      <c r="L412" s="3">
        <v>3</v>
      </c>
      <c r="M412" s="3" t="str">
        <f t="shared" si="41"/>
        <v>Dark Cloudy</v>
      </c>
      <c r="N412" s="3">
        <v>0.22</v>
      </c>
      <c r="O412">
        <f t="shared" si="42"/>
        <v>22</v>
      </c>
    </row>
    <row r="413" spans="1:15" ht="13.2" x14ac:dyDescent="0.25">
      <c r="A413" s="3">
        <v>412</v>
      </c>
      <c r="B413" s="4">
        <v>40562</v>
      </c>
      <c r="C413" s="3">
        <v>1</v>
      </c>
      <c r="D413" s="3">
        <f t="shared" si="38"/>
        <v>2011</v>
      </c>
      <c r="E413" s="3">
        <v>1</v>
      </c>
      <c r="F413" s="3">
        <v>4</v>
      </c>
      <c r="G413" s="3" t="str">
        <f t="shared" si="39"/>
        <v>Night</v>
      </c>
      <c r="H413" s="3" t="b">
        <v>0</v>
      </c>
      <c r="I413" s="3" t="str">
        <f t="shared" si="37"/>
        <v>Working day</v>
      </c>
      <c r="J413" s="3">
        <v>3</v>
      </c>
      <c r="K413" s="3" t="str">
        <f t="shared" si="40"/>
        <v>Thursday</v>
      </c>
      <c r="L413" s="3">
        <v>3</v>
      </c>
      <c r="M413" s="3" t="str">
        <f t="shared" si="41"/>
        <v>Dark Cloudy</v>
      </c>
      <c r="N413" s="3">
        <v>0.22</v>
      </c>
      <c r="O413">
        <f t="shared" si="42"/>
        <v>22</v>
      </c>
    </row>
    <row r="414" spans="1:15" ht="13.2" x14ac:dyDescent="0.25">
      <c r="A414" s="3">
        <v>413</v>
      </c>
      <c r="B414" s="4">
        <v>40562</v>
      </c>
      <c r="C414" s="3">
        <v>1</v>
      </c>
      <c r="D414" s="3">
        <f t="shared" si="38"/>
        <v>2011</v>
      </c>
      <c r="E414" s="3">
        <v>1</v>
      </c>
      <c r="F414" s="3">
        <v>5</v>
      </c>
      <c r="G414" s="3" t="str">
        <f t="shared" si="39"/>
        <v>Night</v>
      </c>
      <c r="H414" s="3" t="b">
        <v>0</v>
      </c>
      <c r="I414" s="3" t="str">
        <f t="shared" si="37"/>
        <v>Working day</v>
      </c>
      <c r="J414" s="3">
        <v>3</v>
      </c>
      <c r="K414" s="3" t="str">
        <f t="shared" si="40"/>
        <v>Thursday</v>
      </c>
      <c r="L414" s="3">
        <v>2</v>
      </c>
      <c r="M414" s="3" t="str">
        <f t="shared" si="41"/>
        <v>Mild Cloudy</v>
      </c>
      <c r="N414" s="3">
        <v>0.22</v>
      </c>
      <c r="O414">
        <f t="shared" si="42"/>
        <v>22</v>
      </c>
    </row>
    <row r="415" spans="1:15" ht="13.2" x14ac:dyDescent="0.25">
      <c r="A415" s="3">
        <v>414</v>
      </c>
      <c r="B415" s="4">
        <v>40562</v>
      </c>
      <c r="C415" s="3">
        <v>1</v>
      </c>
      <c r="D415" s="3">
        <f t="shared" si="38"/>
        <v>2011</v>
      </c>
      <c r="E415" s="3">
        <v>1</v>
      </c>
      <c r="F415" s="3">
        <v>6</v>
      </c>
      <c r="G415" s="3" t="str">
        <f t="shared" si="39"/>
        <v>Morning</v>
      </c>
      <c r="H415" s="3" t="b">
        <v>0</v>
      </c>
      <c r="I415" s="3" t="str">
        <f t="shared" si="37"/>
        <v>Working day</v>
      </c>
      <c r="J415" s="3">
        <v>3</v>
      </c>
      <c r="K415" s="3" t="str">
        <f t="shared" si="40"/>
        <v>Thursday</v>
      </c>
      <c r="L415" s="3">
        <v>2</v>
      </c>
      <c r="M415" s="3" t="str">
        <f t="shared" si="41"/>
        <v>Mild Cloudy</v>
      </c>
      <c r="N415" s="3">
        <v>0.22</v>
      </c>
      <c r="O415">
        <f t="shared" si="42"/>
        <v>22</v>
      </c>
    </row>
    <row r="416" spans="1:15" ht="13.2" x14ac:dyDescent="0.25">
      <c r="A416" s="3">
        <v>415</v>
      </c>
      <c r="B416" s="4">
        <v>40562</v>
      </c>
      <c r="C416" s="3">
        <v>1</v>
      </c>
      <c r="D416" s="3">
        <f t="shared" si="38"/>
        <v>2011</v>
      </c>
      <c r="E416" s="3">
        <v>1</v>
      </c>
      <c r="F416" s="3">
        <v>7</v>
      </c>
      <c r="G416" s="3" t="str">
        <f t="shared" si="39"/>
        <v>Morning</v>
      </c>
      <c r="H416" s="3" t="b">
        <v>0</v>
      </c>
      <c r="I416" s="3" t="str">
        <f t="shared" si="37"/>
        <v>Working day</v>
      </c>
      <c r="J416" s="3">
        <v>3</v>
      </c>
      <c r="K416" s="3" t="str">
        <f t="shared" si="40"/>
        <v>Thursday</v>
      </c>
      <c r="L416" s="3">
        <v>2</v>
      </c>
      <c r="M416" s="3" t="str">
        <f t="shared" si="41"/>
        <v>Mild Cloudy</v>
      </c>
      <c r="N416" s="3">
        <v>0.24</v>
      </c>
      <c r="O416">
        <f t="shared" si="42"/>
        <v>24</v>
      </c>
    </row>
    <row r="417" spans="1:15" ht="13.2" x14ac:dyDescent="0.25">
      <c r="A417" s="3">
        <v>416</v>
      </c>
      <c r="B417" s="4">
        <v>40562</v>
      </c>
      <c r="C417" s="3">
        <v>1</v>
      </c>
      <c r="D417" s="3">
        <f t="shared" si="38"/>
        <v>2011</v>
      </c>
      <c r="E417" s="3">
        <v>1</v>
      </c>
      <c r="F417" s="3">
        <v>8</v>
      </c>
      <c r="G417" s="3" t="str">
        <f t="shared" si="39"/>
        <v>Morning</v>
      </c>
      <c r="H417" s="3" t="b">
        <v>0</v>
      </c>
      <c r="I417" s="3" t="str">
        <f t="shared" si="37"/>
        <v>Working day</v>
      </c>
      <c r="J417" s="3">
        <v>3</v>
      </c>
      <c r="K417" s="3" t="str">
        <f t="shared" si="40"/>
        <v>Thursday</v>
      </c>
      <c r="L417" s="3">
        <v>2</v>
      </c>
      <c r="M417" s="3" t="str">
        <f t="shared" si="41"/>
        <v>Mild Cloudy</v>
      </c>
      <c r="N417" s="3">
        <v>0.24</v>
      </c>
      <c r="O417">
        <f t="shared" si="42"/>
        <v>24</v>
      </c>
    </row>
    <row r="418" spans="1:15" ht="13.2" x14ac:dyDescent="0.25">
      <c r="A418" s="3">
        <v>417</v>
      </c>
      <c r="B418" s="4">
        <v>40562</v>
      </c>
      <c r="C418" s="3">
        <v>1</v>
      </c>
      <c r="D418" s="3">
        <f t="shared" si="38"/>
        <v>2011</v>
      </c>
      <c r="E418" s="3">
        <v>1</v>
      </c>
      <c r="F418" s="3">
        <v>9</v>
      </c>
      <c r="G418" s="3" t="str">
        <f t="shared" si="39"/>
        <v>Morning</v>
      </c>
      <c r="H418" s="3" t="b">
        <v>0</v>
      </c>
      <c r="I418" s="3" t="str">
        <f t="shared" si="37"/>
        <v>Working day</v>
      </c>
      <c r="J418" s="3">
        <v>3</v>
      </c>
      <c r="K418" s="3" t="str">
        <f t="shared" si="40"/>
        <v>Thursday</v>
      </c>
      <c r="L418" s="3">
        <v>2</v>
      </c>
      <c r="M418" s="3" t="str">
        <f t="shared" si="41"/>
        <v>Mild Cloudy</v>
      </c>
      <c r="N418" s="3">
        <v>0.24</v>
      </c>
      <c r="O418">
        <f t="shared" si="42"/>
        <v>24</v>
      </c>
    </row>
    <row r="419" spans="1:15" ht="13.2" x14ac:dyDescent="0.25">
      <c r="A419" s="3">
        <v>418</v>
      </c>
      <c r="B419" s="4">
        <v>40562</v>
      </c>
      <c r="C419" s="3">
        <v>1</v>
      </c>
      <c r="D419" s="3">
        <f t="shared" si="38"/>
        <v>2011</v>
      </c>
      <c r="E419" s="3">
        <v>1</v>
      </c>
      <c r="F419" s="3">
        <v>10</v>
      </c>
      <c r="G419" s="3" t="str">
        <f t="shared" si="39"/>
        <v>Morning</v>
      </c>
      <c r="H419" s="3" t="b">
        <v>0</v>
      </c>
      <c r="I419" s="3" t="str">
        <f t="shared" si="37"/>
        <v>Working day</v>
      </c>
      <c r="J419" s="3">
        <v>3</v>
      </c>
      <c r="K419" s="3" t="str">
        <f t="shared" si="40"/>
        <v>Thursday</v>
      </c>
      <c r="L419" s="3">
        <v>2</v>
      </c>
      <c r="M419" s="3" t="str">
        <f t="shared" si="41"/>
        <v>Mild Cloudy</v>
      </c>
      <c r="N419" s="3">
        <v>0.26</v>
      </c>
      <c r="O419">
        <f t="shared" si="42"/>
        <v>26</v>
      </c>
    </row>
    <row r="420" spans="1:15" ht="13.2" x14ac:dyDescent="0.25">
      <c r="A420" s="3">
        <v>419</v>
      </c>
      <c r="B420" s="4">
        <v>40562</v>
      </c>
      <c r="C420" s="3">
        <v>1</v>
      </c>
      <c r="D420" s="3">
        <f t="shared" si="38"/>
        <v>2011</v>
      </c>
      <c r="E420" s="3">
        <v>1</v>
      </c>
      <c r="F420" s="3">
        <v>11</v>
      </c>
      <c r="G420" s="3" t="str">
        <f t="shared" si="39"/>
        <v>Morning</v>
      </c>
      <c r="H420" s="3" t="b">
        <v>0</v>
      </c>
      <c r="I420" s="3" t="str">
        <f t="shared" si="37"/>
        <v>Working day</v>
      </c>
      <c r="J420" s="3">
        <v>3</v>
      </c>
      <c r="K420" s="3" t="str">
        <f t="shared" si="40"/>
        <v>Thursday</v>
      </c>
      <c r="L420" s="3">
        <v>2</v>
      </c>
      <c r="M420" s="3" t="str">
        <f t="shared" si="41"/>
        <v>Mild Cloudy</v>
      </c>
      <c r="N420" s="3">
        <v>0.28000000000000003</v>
      </c>
      <c r="O420">
        <f t="shared" si="42"/>
        <v>28.000000000000004</v>
      </c>
    </row>
    <row r="421" spans="1:15" ht="13.2" x14ac:dyDescent="0.25">
      <c r="A421" s="3">
        <v>420</v>
      </c>
      <c r="B421" s="4">
        <v>40562</v>
      </c>
      <c r="C421" s="3">
        <v>1</v>
      </c>
      <c r="D421" s="3">
        <f t="shared" si="38"/>
        <v>2011</v>
      </c>
      <c r="E421" s="3">
        <v>1</v>
      </c>
      <c r="F421" s="3">
        <v>12</v>
      </c>
      <c r="G421" s="3" t="str">
        <f t="shared" si="39"/>
        <v>Afternoon</v>
      </c>
      <c r="H421" s="3" t="b">
        <v>0</v>
      </c>
      <c r="I421" s="3" t="str">
        <f t="shared" si="37"/>
        <v>Working day</v>
      </c>
      <c r="J421" s="3">
        <v>3</v>
      </c>
      <c r="K421" s="3" t="str">
        <f t="shared" si="40"/>
        <v>Thursday</v>
      </c>
      <c r="L421" s="3">
        <v>2</v>
      </c>
      <c r="M421" s="3" t="str">
        <f t="shared" si="41"/>
        <v>Mild Cloudy</v>
      </c>
      <c r="N421" s="3">
        <v>0.3</v>
      </c>
      <c r="O421">
        <f t="shared" si="42"/>
        <v>30</v>
      </c>
    </row>
    <row r="422" spans="1:15" ht="13.2" x14ac:dyDescent="0.25">
      <c r="A422" s="3">
        <v>421</v>
      </c>
      <c r="B422" s="4">
        <v>40562</v>
      </c>
      <c r="C422" s="3">
        <v>1</v>
      </c>
      <c r="D422" s="3">
        <f t="shared" si="38"/>
        <v>2011</v>
      </c>
      <c r="E422" s="3">
        <v>1</v>
      </c>
      <c r="F422" s="3">
        <v>13</v>
      </c>
      <c r="G422" s="3" t="str">
        <f t="shared" si="39"/>
        <v>Afternoon</v>
      </c>
      <c r="H422" s="3" t="b">
        <v>0</v>
      </c>
      <c r="I422" s="3" t="str">
        <f t="shared" si="37"/>
        <v>Working day</v>
      </c>
      <c r="J422" s="3">
        <v>3</v>
      </c>
      <c r="K422" s="3" t="str">
        <f t="shared" si="40"/>
        <v>Thursday</v>
      </c>
      <c r="L422" s="3">
        <v>1</v>
      </c>
      <c r="M422" s="3" t="str">
        <f t="shared" si="41"/>
        <v>Nice weather</v>
      </c>
      <c r="N422" s="3">
        <v>0.4</v>
      </c>
      <c r="O422">
        <f t="shared" si="42"/>
        <v>40</v>
      </c>
    </row>
    <row r="423" spans="1:15" ht="13.2" x14ac:dyDescent="0.25">
      <c r="A423" s="3">
        <v>422</v>
      </c>
      <c r="B423" s="4">
        <v>40562</v>
      </c>
      <c r="C423" s="3">
        <v>1</v>
      </c>
      <c r="D423" s="3">
        <f t="shared" si="38"/>
        <v>2011</v>
      </c>
      <c r="E423" s="3">
        <v>1</v>
      </c>
      <c r="F423" s="3">
        <v>14</v>
      </c>
      <c r="G423" s="3" t="str">
        <f t="shared" si="39"/>
        <v>Afternoon</v>
      </c>
      <c r="H423" s="3" t="b">
        <v>0</v>
      </c>
      <c r="I423" s="3" t="str">
        <f t="shared" si="37"/>
        <v>Working day</v>
      </c>
      <c r="J423" s="3">
        <v>3</v>
      </c>
      <c r="K423" s="3" t="str">
        <f t="shared" si="40"/>
        <v>Thursday</v>
      </c>
      <c r="L423" s="3">
        <v>1</v>
      </c>
      <c r="M423" s="3" t="str">
        <f t="shared" si="41"/>
        <v>Nice weather</v>
      </c>
      <c r="N423" s="3">
        <v>0.4</v>
      </c>
      <c r="O423">
        <f t="shared" si="42"/>
        <v>40</v>
      </c>
    </row>
    <row r="424" spans="1:15" ht="13.2" x14ac:dyDescent="0.25">
      <c r="A424" s="3">
        <v>423</v>
      </c>
      <c r="B424" s="4">
        <v>40562</v>
      </c>
      <c r="C424" s="3">
        <v>1</v>
      </c>
      <c r="D424" s="3">
        <f t="shared" si="38"/>
        <v>2011</v>
      </c>
      <c r="E424" s="3">
        <v>1</v>
      </c>
      <c r="F424" s="3">
        <v>15</v>
      </c>
      <c r="G424" s="3" t="str">
        <f t="shared" si="39"/>
        <v>Afternoon</v>
      </c>
      <c r="H424" s="3" t="b">
        <v>0</v>
      </c>
      <c r="I424" s="3" t="str">
        <f t="shared" si="37"/>
        <v>Working day</v>
      </c>
      <c r="J424" s="3">
        <v>3</v>
      </c>
      <c r="K424" s="3" t="str">
        <f t="shared" si="40"/>
        <v>Thursday</v>
      </c>
      <c r="L424" s="3">
        <v>1</v>
      </c>
      <c r="M424" s="3" t="str">
        <f t="shared" si="41"/>
        <v>Nice weather</v>
      </c>
      <c r="N424" s="3">
        <v>0.4</v>
      </c>
      <c r="O424">
        <f t="shared" si="42"/>
        <v>40</v>
      </c>
    </row>
    <row r="425" spans="1:15" ht="13.2" x14ac:dyDescent="0.25">
      <c r="A425" s="3">
        <v>424</v>
      </c>
      <c r="B425" s="4">
        <v>40562</v>
      </c>
      <c r="C425" s="3">
        <v>1</v>
      </c>
      <c r="D425" s="3">
        <f t="shared" si="38"/>
        <v>2011</v>
      </c>
      <c r="E425" s="3">
        <v>1</v>
      </c>
      <c r="F425" s="3">
        <v>16</v>
      </c>
      <c r="G425" s="3" t="str">
        <f t="shared" si="39"/>
        <v>Afternoon</v>
      </c>
      <c r="H425" s="3" t="b">
        <v>0</v>
      </c>
      <c r="I425" s="3" t="str">
        <f t="shared" si="37"/>
        <v>Working day</v>
      </c>
      <c r="J425" s="3">
        <v>3</v>
      </c>
      <c r="K425" s="3" t="str">
        <f t="shared" si="40"/>
        <v>Thursday</v>
      </c>
      <c r="L425" s="3">
        <v>1</v>
      </c>
      <c r="M425" s="3" t="str">
        <f t="shared" si="41"/>
        <v>Nice weather</v>
      </c>
      <c r="N425" s="3">
        <v>0.38</v>
      </c>
      <c r="O425">
        <f t="shared" si="42"/>
        <v>38</v>
      </c>
    </row>
    <row r="426" spans="1:15" ht="13.2" x14ac:dyDescent="0.25">
      <c r="A426" s="3">
        <v>425</v>
      </c>
      <c r="B426" s="4">
        <v>40562</v>
      </c>
      <c r="C426" s="3">
        <v>1</v>
      </c>
      <c r="D426" s="3">
        <f t="shared" si="38"/>
        <v>2011</v>
      </c>
      <c r="E426" s="3">
        <v>1</v>
      </c>
      <c r="F426" s="3">
        <v>17</v>
      </c>
      <c r="G426" s="3" t="str">
        <f t="shared" si="39"/>
        <v>Afternoon</v>
      </c>
      <c r="H426" s="3" t="b">
        <v>0</v>
      </c>
      <c r="I426" s="3" t="str">
        <f t="shared" si="37"/>
        <v>Working day</v>
      </c>
      <c r="J426" s="3">
        <v>3</v>
      </c>
      <c r="K426" s="3" t="str">
        <f t="shared" si="40"/>
        <v>Thursday</v>
      </c>
      <c r="L426" s="3">
        <v>1</v>
      </c>
      <c r="M426" s="3" t="str">
        <f t="shared" si="41"/>
        <v>Nice weather</v>
      </c>
      <c r="N426" s="3">
        <v>0.36</v>
      </c>
      <c r="O426">
        <f t="shared" si="42"/>
        <v>36</v>
      </c>
    </row>
    <row r="427" spans="1:15" ht="13.2" x14ac:dyDescent="0.25">
      <c r="A427" s="3">
        <v>426</v>
      </c>
      <c r="B427" s="4">
        <v>40562</v>
      </c>
      <c r="C427" s="3">
        <v>1</v>
      </c>
      <c r="D427" s="3">
        <f t="shared" si="38"/>
        <v>2011</v>
      </c>
      <c r="E427" s="3">
        <v>1</v>
      </c>
      <c r="F427" s="3">
        <v>18</v>
      </c>
      <c r="G427" s="3" t="str">
        <f t="shared" si="39"/>
        <v>Evening</v>
      </c>
      <c r="H427" s="3" t="b">
        <v>0</v>
      </c>
      <c r="I427" s="3" t="str">
        <f t="shared" si="37"/>
        <v>Working day</v>
      </c>
      <c r="J427" s="3">
        <v>3</v>
      </c>
      <c r="K427" s="3" t="str">
        <f t="shared" si="40"/>
        <v>Thursday</v>
      </c>
      <c r="L427" s="3">
        <v>1</v>
      </c>
      <c r="M427" s="3" t="str">
        <f t="shared" si="41"/>
        <v>Nice weather</v>
      </c>
      <c r="N427" s="3">
        <v>0.34</v>
      </c>
      <c r="O427">
        <f t="shared" si="42"/>
        <v>34</v>
      </c>
    </row>
    <row r="428" spans="1:15" ht="13.2" x14ac:dyDescent="0.25">
      <c r="A428" s="3">
        <v>427</v>
      </c>
      <c r="B428" s="4">
        <v>40562</v>
      </c>
      <c r="C428" s="3">
        <v>1</v>
      </c>
      <c r="D428" s="3">
        <f t="shared" si="38"/>
        <v>2011</v>
      </c>
      <c r="E428" s="3">
        <v>1</v>
      </c>
      <c r="F428" s="3">
        <v>19</v>
      </c>
      <c r="G428" s="3" t="str">
        <f t="shared" si="39"/>
        <v>Evening</v>
      </c>
      <c r="H428" s="3" t="b">
        <v>0</v>
      </c>
      <c r="I428" s="3" t="str">
        <f t="shared" si="37"/>
        <v>Working day</v>
      </c>
      <c r="J428" s="3">
        <v>3</v>
      </c>
      <c r="K428" s="3" t="str">
        <f t="shared" si="40"/>
        <v>Thursday</v>
      </c>
      <c r="L428" s="3">
        <v>1</v>
      </c>
      <c r="M428" s="3" t="str">
        <f t="shared" si="41"/>
        <v>Nice weather</v>
      </c>
      <c r="N428" s="3">
        <v>0.32</v>
      </c>
      <c r="O428">
        <f t="shared" si="42"/>
        <v>32</v>
      </c>
    </row>
    <row r="429" spans="1:15" ht="13.2" x14ac:dyDescent="0.25">
      <c r="A429" s="3">
        <v>428</v>
      </c>
      <c r="B429" s="4">
        <v>40562</v>
      </c>
      <c r="C429" s="3">
        <v>1</v>
      </c>
      <c r="D429" s="3">
        <f t="shared" si="38"/>
        <v>2011</v>
      </c>
      <c r="E429" s="3">
        <v>1</v>
      </c>
      <c r="F429" s="3">
        <v>20</v>
      </c>
      <c r="G429" s="3" t="str">
        <f t="shared" si="39"/>
        <v>Evening</v>
      </c>
      <c r="H429" s="3" t="b">
        <v>0</v>
      </c>
      <c r="I429" s="3" t="str">
        <f t="shared" si="37"/>
        <v>Working day</v>
      </c>
      <c r="J429" s="3">
        <v>3</v>
      </c>
      <c r="K429" s="3" t="str">
        <f t="shared" si="40"/>
        <v>Thursday</v>
      </c>
      <c r="L429" s="3">
        <v>1</v>
      </c>
      <c r="M429" s="3" t="str">
        <f t="shared" si="41"/>
        <v>Nice weather</v>
      </c>
      <c r="N429" s="3">
        <v>0.32</v>
      </c>
      <c r="O429">
        <f t="shared" si="42"/>
        <v>32</v>
      </c>
    </row>
    <row r="430" spans="1:15" ht="13.2" x14ac:dyDescent="0.25">
      <c r="A430" s="3">
        <v>429</v>
      </c>
      <c r="B430" s="4">
        <v>40562</v>
      </c>
      <c r="C430" s="3">
        <v>1</v>
      </c>
      <c r="D430" s="3">
        <f t="shared" si="38"/>
        <v>2011</v>
      </c>
      <c r="E430" s="3">
        <v>1</v>
      </c>
      <c r="F430" s="3">
        <v>21</v>
      </c>
      <c r="G430" s="3" t="str">
        <f t="shared" si="39"/>
        <v>Evening</v>
      </c>
      <c r="H430" s="3" t="b">
        <v>0</v>
      </c>
      <c r="I430" s="3" t="str">
        <f t="shared" si="37"/>
        <v>Working day</v>
      </c>
      <c r="J430" s="3">
        <v>3</v>
      </c>
      <c r="K430" s="3" t="str">
        <f t="shared" si="40"/>
        <v>Thursday</v>
      </c>
      <c r="L430" s="3">
        <v>1</v>
      </c>
      <c r="M430" s="3" t="str">
        <f t="shared" si="41"/>
        <v>Nice weather</v>
      </c>
      <c r="N430" s="3">
        <v>0.32</v>
      </c>
      <c r="O430">
        <f t="shared" si="42"/>
        <v>32</v>
      </c>
    </row>
    <row r="431" spans="1:15" ht="13.2" x14ac:dyDescent="0.25">
      <c r="A431" s="3">
        <v>430</v>
      </c>
      <c r="B431" s="4">
        <v>40562</v>
      </c>
      <c r="C431" s="3">
        <v>1</v>
      </c>
      <c r="D431" s="3">
        <f t="shared" si="38"/>
        <v>2011</v>
      </c>
      <c r="E431" s="3">
        <v>1</v>
      </c>
      <c r="F431" s="3">
        <v>22</v>
      </c>
      <c r="G431" s="3" t="str">
        <f t="shared" si="39"/>
        <v>Evening</v>
      </c>
      <c r="H431" s="3" t="b">
        <v>0</v>
      </c>
      <c r="I431" s="3" t="str">
        <f t="shared" si="37"/>
        <v>Working day</v>
      </c>
      <c r="J431" s="3">
        <v>3</v>
      </c>
      <c r="K431" s="3" t="str">
        <f t="shared" si="40"/>
        <v>Thursday</v>
      </c>
      <c r="L431" s="3">
        <v>1</v>
      </c>
      <c r="M431" s="3" t="str">
        <f t="shared" si="41"/>
        <v>Nice weather</v>
      </c>
      <c r="N431" s="3">
        <v>0.3</v>
      </c>
      <c r="O431">
        <f t="shared" si="42"/>
        <v>30</v>
      </c>
    </row>
    <row r="432" spans="1:15" ht="13.2" x14ac:dyDescent="0.25">
      <c r="A432" s="3">
        <v>431</v>
      </c>
      <c r="B432" s="4">
        <v>40562</v>
      </c>
      <c r="C432" s="3">
        <v>1</v>
      </c>
      <c r="D432" s="3">
        <f t="shared" si="38"/>
        <v>2011</v>
      </c>
      <c r="E432" s="3">
        <v>1</v>
      </c>
      <c r="F432" s="3">
        <v>23</v>
      </c>
      <c r="G432" s="3" t="str">
        <f t="shared" si="39"/>
        <v>Evening</v>
      </c>
      <c r="H432" s="3" t="b">
        <v>0</v>
      </c>
      <c r="I432" s="3" t="str">
        <f t="shared" si="37"/>
        <v>Working day</v>
      </c>
      <c r="J432" s="3">
        <v>3</v>
      </c>
      <c r="K432" s="3" t="str">
        <f t="shared" si="40"/>
        <v>Thursday</v>
      </c>
      <c r="L432" s="3">
        <v>1</v>
      </c>
      <c r="M432" s="3" t="str">
        <f t="shared" si="41"/>
        <v>Nice weather</v>
      </c>
      <c r="N432" s="3">
        <v>0.3</v>
      </c>
      <c r="O432">
        <f t="shared" si="42"/>
        <v>30</v>
      </c>
    </row>
    <row r="433" spans="1:15" ht="13.2" x14ac:dyDescent="0.25">
      <c r="A433" s="3">
        <v>432</v>
      </c>
      <c r="B433" s="4">
        <v>40563</v>
      </c>
      <c r="C433" s="3">
        <v>1</v>
      </c>
      <c r="D433" s="3">
        <f t="shared" si="38"/>
        <v>2011</v>
      </c>
      <c r="E433" s="3">
        <v>1</v>
      </c>
      <c r="F433" s="3">
        <v>0</v>
      </c>
      <c r="G433" s="3" t="str">
        <f t="shared" si="39"/>
        <v>Night</v>
      </c>
      <c r="H433" s="3" t="b">
        <v>0</v>
      </c>
      <c r="I433" s="3" t="str">
        <f t="shared" si="37"/>
        <v>Working day</v>
      </c>
      <c r="J433" s="3">
        <v>4</v>
      </c>
      <c r="K433" s="3" t="str">
        <f t="shared" si="40"/>
        <v>Friday</v>
      </c>
      <c r="L433" s="3">
        <v>1</v>
      </c>
      <c r="M433" s="3" t="str">
        <f t="shared" si="41"/>
        <v>Nice weather</v>
      </c>
      <c r="N433" s="3">
        <v>0.26</v>
      </c>
      <c r="O433">
        <f t="shared" si="42"/>
        <v>26</v>
      </c>
    </row>
    <row r="434" spans="1:15" ht="13.2" x14ac:dyDescent="0.25">
      <c r="A434" s="3">
        <v>433</v>
      </c>
      <c r="B434" s="4">
        <v>40563</v>
      </c>
      <c r="C434" s="3">
        <v>1</v>
      </c>
      <c r="D434" s="3">
        <f t="shared" si="38"/>
        <v>2011</v>
      </c>
      <c r="E434" s="3">
        <v>1</v>
      </c>
      <c r="F434" s="3">
        <v>1</v>
      </c>
      <c r="G434" s="3" t="str">
        <f t="shared" si="39"/>
        <v>Night</v>
      </c>
      <c r="H434" s="3" t="b">
        <v>0</v>
      </c>
      <c r="I434" s="3" t="str">
        <f t="shared" si="37"/>
        <v>Working day</v>
      </c>
      <c r="J434" s="3">
        <v>4</v>
      </c>
      <c r="K434" s="3" t="str">
        <f t="shared" si="40"/>
        <v>Friday</v>
      </c>
      <c r="L434" s="3">
        <v>1</v>
      </c>
      <c r="M434" s="3" t="str">
        <f t="shared" si="41"/>
        <v>Nice weather</v>
      </c>
      <c r="N434" s="3">
        <v>0.26</v>
      </c>
      <c r="O434">
        <f t="shared" si="42"/>
        <v>26</v>
      </c>
    </row>
    <row r="435" spans="1:15" ht="13.2" x14ac:dyDescent="0.25">
      <c r="A435" s="3">
        <v>434</v>
      </c>
      <c r="B435" s="4">
        <v>40563</v>
      </c>
      <c r="C435" s="3">
        <v>1</v>
      </c>
      <c r="D435" s="3">
        <f t="shared" si="38"/>
        <v>2011</v>
      </c>
      <c r="E435" s="3">
        <v>1</v>
      </c>
      <c r="F435" s="3">
        <v>2</v>
      </c>
      <c r="G435" s="3" t="str">
        <f t="shared" si="39"/>
        <v>Night</v>
      </c>
      <c r="H435" s="3" t="b">
        <v>0</v>
      </c>
      <c r="I435" s="3" t="str">
        <f t="shared" si="37"/>
        <v>Working day</v>
      </c>
      <c r="J435" s="3">
        <v>4</v>
      </c>
      <c r="K435" s="3" t="str">
        <f t="shared" si="40"/>
        <v>Friday</v>
      </c>
      <c r="L435" s="3">
        <v>1</v>
      </c>
      <c r="M435" s="3" t="str">
        <f t="shared" si="41"/>
        <v>Nice weather</v>
      </c>
      <c r="N435" s="3">
        <v>0.26</v>
      </c>
      <c r="O435">
        <f t="shared" si="42"/>
        <v>26</v>
      </c>
    </row>
    <row r="436" spans="1:15" ht="13.2" x14ac:dyDescent="0.25">
      <c r="A436" s="3">
        <v>435</v>
      </c>
      <c r="B436" s="4">
        <v>40563</v>
      </c>
      <c r="C436" s="3">
        <v>1</v>
      </c>
      <c r="D436" s="3">
        <f t="shared" si="38"/>
        <v>2011</v>
      </c>
      <c r="E436" s="3">
        <v>1</v>
      </c>
      <c r="F436" s="3">
        <v>3</v>
      </c>
      <c r="G436" s="3" t="str">
        <f t="shared" si="39"/>
        <v>Night</v>
      </c>
      <c r="H436" s="3" t="b">
        <v>0</v>
      </c>
      <c r="I436" s="3" t="str">
        <f t="shared" si="37"/>
        <v>Working day</v>
      </c>
      <c r="J436" s="3">
        <v>4</v>
      </c>
      <c r="K436" s="3" t="str">
        <f t="shared" si="40"/>
        <v>Friday</v>
      </c>
      <c r="L436" s="3">
        <v>1</v>
      </c>
      <c r="M436" s="3" t="str">
        <f t="shared" si="41"/>
        <v>Nice weather</v>
      </c>
      <c r="N436" s="3">
        <v>0.26</v>
      </c>
      <c r="O436">
        <f t="shared" si="42"/>
        <v>26</v>
      </c>
    </row>
    <row r="437" spans="1:15" ht="13.2" x14ac:dyDescent="0.25">
      <c r="A437" s="3">
        <v>436</v>
      </c>
      <c r="B437" s="4">
        <v>40563</v>
      </c>
      <c r="C437" s="3">
        <v>1</v>
      </c>
      <c r="D437" s="3">
        <f t="shared" si="38"/>
        <v>2011</v>
      </c>
      <c r="E437" s="3">
        <v>1</v>
      </c>
      <c r="F437" s="3">
        <v>4</v>
      </c>
      <c r="G437" s="3" t="str">
        <f t="shared" si="39"/>
        <v>Night</v>
      </c>
      <c r="H437" s="3" t="b">
        <v>0</v>
      </c>
      <c r="I437" s="3" t="str">
        <f t="shared" si="37"/>
        <v>Working day</v>
      </c>
      <c r="J437" s="3">
        <v>4</v>
      </c>
      <c r="K437" s="3" t="str">
        <f t="shared" si="40"/>
        <v>Friday</v>
      </c>
      <c r="L437" s="3">
        <v>1</v>
      </c>
      <c r="M437" s="3" t="str">
        <f t="shared" si="41"/>
        <v>Nice weather</v>
      </c>
      <c r="N437" s="3">
        <v>0.26</v>
      </c>
      <c r="O437">
        <f t="shared" si="42"/>
        <v>26</v>
      </c>
    </row>
    <row r="438" spans="1:15" ht="13.2" x14ac:dyDescent="0.25">
      <c r="A438" s="3">
        <v>437</v>
      </c>
      <c r="B438" s="4">
        <v>40563</v>
      </c>
      <c r="C438" s="3">
        <v>1</v>
      </c>
      <c r="D438" s="3">
        <f t="shared" si="38"/>
        <v>2011</v>
      </c>
      <c r="E438" s="3">
        <v>1</v>
      </c>
      <c r="F438" s="3">
        <v>5</v>
      </c>
      <c r="G438" s="3" t="str">
        <f t="shared" si="39"/>
        <v>Night</v>
      </c>
      <c r="H438" s="3" t="b">
        <v>0</v>
      </c>
      <c r="I438" s="3" t="str">
        <f t="shared" si="37"/>
        <v>Working day</v>
      </c>
      <c r="J438" s="3">
        <v>4</v>
      </c>
      <c r="K438" s="3" t="str">
        <f t="shared" si="40"/>
        <v>Friday</v>
      </c>
      <c r="L438" s="3">
        <v>1</v>
      </c>
      <c r="M438" s="3" t="str">
        <f t="shared" si="41"/>
        <v>Nice weather</v>
      </c>
      <c r="N438" s="3">
        <v>0.24</v>
      </c>
      <c r="O438">
        <f t="shared" si="42"/>
        <v>24</v>
      </c>
    </row>
    <row r="439" spans="1:15" ht="13.2" x14ac:dyDescent="0.25">
      <c r="A439" s="3">
        <v>438</v>
      </c>
      <c r="B439" s="4">
        <v>40563</v>
      </c>
      <c r="C439" s="3">
        <v>1</v>
      </c>
      <c r="D439" s="3">
        <f t="shared" si="38"/>
        <v>2011</v>
      </c>
      <c r="E439" s="3">
        <v>1</v>
      </c>
      <c r="F439" s="3">
        <v>6</v>
      </c>
      <c r="G439" s="3" t="str">
        <f t="shared" si="39"/>
        <v>Morning</v>
      </c>
      <c r="H439" s="3" t="b">
        <v>0</v>
      </c>
      <c r="I439" s="3" t="str">
        <f t="shared" si="37"/>
        <v>Working day</v>
      </c>
      <c r="J439" s="3">
        <v>4</v>
      </c>
      <c r="K439" s="3" t="str">
        <f t="shared" si="40"/>
        <v>Friday</v>
      </c>
      <c r="L439" s="3">
        <v>1</v>
      </c>
      <c r="M439" s="3" t="str">
        <f t="shared" si="41"/>
        <v>Nice weather</v>
      </c>
      <c r="N439" s="3">
        <v>0.22</v>
      </c>
      <c r="O439">
        <f t="shared" si="42"/>
        <v>22</v>
      </c>
    </row>
    <row r="440" spans="1:15" ht="13.2" x14ac:dyDescent="0.25">
      <c r="A440" s="3">
        <v>439</v>
      </c>
      <c r="B440" s="4">
        <v>40563</v>
      </c>
      <c r="C440" s="3">
        <v>1</v>
      </c>
      <c r="D440" s="3">
        <f t="shared" si="38"/>
        <v>2011</v>
      </c>
      <c r="E440" s="3">
        <v>1</v>
      </c>
      <c r="F440" s="3">
        <v>7</v>
      </c>
      <c r="G440" s="3" t="str">
        <f t="shared" si="39"/>
        <v>Morning</v>
      </c>
      <c r="H440" s="3" t="b">
        <v>0</v>
      </c>
      <c r="I440" s="3" t="str">
        <f t="shared" si="37"/>
        <v>Working day</v>
      </c>
      <c r="J440" s="3">
        <v>4</v>
      </c>
      <c r="K440" s="3" t="str">
        <f t="shared" si="40"/>
        <v>Friday</v>
      </c>
      <c r="L440" s="3">
        <v>1</v>
      </c>
      <c r="M440" s="3" t="str">
        <f t="shared" si="41"/>
        <v>Nice weather</v>
      </c>
      <c r="N440" s="3">
        <v>0.22</v>
      </c>
      <c r="O440">
        <f t="shared" si="42"/>
        <v>22</v>
      </c>
    </row>
    <row r="441" spans="1:15" ht="13.2" x14ac:dyDescent="0.25">
      <c r="A441" s="3">
        <v>440</v>
      </c>
      <c r="B441" s="4">
        <v>40563</v>
      </c>
      <c r="C441" s="3">
        <v>1</v>
      </c>
      <c r="D441" s="3">
        <f t="shared" si="38"/>
        <v>2011</v>
      </c>
      <c r="E441" s="3">
        <v>1</v>
      </c>
      <c r="F441" s="3">
        <v>8</v>
      </c>
      <c r="G441" s="3" t="str">
        <f t="shared" si="39"/>
        <v>Morning</v>
      </c>
      <c r="H441" s="3" t="b">
        <v>0</v>
      </c>
      <c r="I441" s="3" t="str">
        <f t="shared" si="37"/>
        <v>Working day</v>
      </c>
      <c r="J441" s="3">
        <v>4</v>
      </c>
      <c r="K441" s="3" t="str">
        <f t="shared" si="40"/>
        <v>Friday</v>
      </c>
      <c r="L441" s="3">
        <v>1</v>
      </c>
      <c r="M441" s="3" t="str">
        <f t="shared" si="41"/>
        <v>Nice weather</v>
      </c>
      <c r="N441" s="3">
        <v>0.22</v>
      </c>
      <c r="O441">
        <f t="shared" si="42"/>
        <v>22</v>
      </c>
    </row>
    <row r="442" spans="1:15" ht="13.2" x14ac:dyDescent="0.25">
      <c r="A442" s="3">
        <v>441</v>
      </c>
      <c r="B442" s="4">
        <v>40563</v>
      </c>
      <c r="C442" s="3">
        <v>1</v>
      </c>
      <c r="D442" s="3">
        <f t="shared" si="38"/>
        <v>2011</v>
      </c>
      <c r="E442" s="3">
        <v>1</v>
      </c>
      <c r="F442" s="3">
        <v>9</v>
      </c>
      <c r="G442" s="3" t="str">
        <f t="shared" si="39"/>
        <v>Morning</v>
      </c>
      <c r="H442" s="3" t="b">
        <v>0</v>
      </c>
      <c r="I442" s="3" t="str">
        <f t="shared" si="37"/>
        <v>Working day</v>
      </c>
      <c r="J442" s="3">
        <v>4</v>
      </c>
      <c r="K442" s="3" t="str">
        <f t="shared" si="40"/>
        <v>Friday</v>
      </c>
      <c r="L442" s="3">
        <v>2</v>
      </c>
      <c r="M442" s="3" t="str">
        <f t="shared" si="41"/>
        <v>Mild Cloudy</v>
      </c>
      <c r="N442" s="3">
        <v>0.24</v>
      </c>
      <c r="O442">
        <f t="shared" si="42"/>
        <v>24</v>
      </c>
    </row>
    <row r="443" spans="1:15" ht="13.2" x14ac:dyDescent="0.25">
      <c r="A443" s="3">
        <v>442</v>
      </c>
      <c r="B443" s="4">
        <v>40563</v>
      </c>
      <c r="C443" s="3">
        <v>1</v>
      </c>
      <c r="D443" s="3">
        <f t="shared" si="38"/>
        <v>2011</v>
      </c>
      <c r="E443" s="3">
        <v>1</v>
      </c>
      <c r="F443" s="3">
        <v>10</v>
      </c>
      <c r="G443" s="3" t="str">
        <f t="shared" si="39"/>
        <v>Morning</v>
      </c>
      <c r="H443" s="3" t="b">
        <v>0</v>
      </c>
      <c r="I443" s="3" t="str">
        <f t="shared" si="37"/>
        <v>Working day</v>
      </c>
      <c r="J443" s="3">
        <v>4</v>
      </c>
      <c r="K443" s="3" t="str">
        <f t="shared" si="40"/>
        <v>Friday</v>
      </c>
      <c r="L443" s="3">
        <v>1</v>
      </c>
      <c r="M443" s="3" t="str">
        <f t="shared" si="41"/>
        <v>Nice weather</v>
      </c>
      <c r="N443" s="3">
        <v>0.26</v>
      </c>
      <c r="O443">
        <f t="shared" si="42"/>
        <v>26</v>
      </c>
    </row>
    <row r="444" spans="1:15" ht="13.2" x14ac:dyDescent="0.25">
      <c r="A444" s="3">
        <v>443</v>
      </c>
      <c r="B444" s="4">
        <v>40563</v>
      </c>
      <c r="C444" s="3">
        <v>1</v>
      </c>
      <c r="D444" s="3">
        <f t="shared" si="38"/>
        <v>2011</v>
      </c>
      <c r="E444" s="3">
        <v>1</v>
      </c>
      <c r="F444" s="3">
        <v>11</v>
      </c>
      <c r="G444" s="3" t="str">
        <f t="shared" si="39"/>
        <v>Morning</v>
      </c>
      <c r="H444" s="3" t="b">
        <v>0</v>
      </c>
      <c r="I444" s="3" t="str">
        <f t="shared" si="37"/>
        <v>Working day</v>
      </c>
      <c r="J444" s="3">
        <v>4</v>
      </c>
      <c r="K444" s="3" t="str">
        <f t="shared" si="40"/>
        <v>Friday</v>
      </c>
      <c r="L444" s="3">
        <v>2</v>
      </c>
      <c r="M444" s="3" t="str">
        <f t="shared" si="41"/>
        <v>Mild Cloudy</v>
      </c>
      <c r="N444" s="3">
        <v>0.28000000000000003</v>
      </c>
      <c r="O444">
        <f t="shared" si="42"/>
        <v>28.000000000000004</v>
      </c>
    </row>
    <row r="445" spans="1:15" ht="13.2" x14ac:dyDescent="0.25">
      <c r="A445" s="3">
        <v>444</v>
      </c>
      <c r="B445" s="4">
        <v>40563</v>
      </c>
      <c r="C445" s="3">
        <v>1</v>
      </c>
      <c r="D445" s="3">
        <f t="shared" si="38"/>
        <v>2011</v>
      </c>
      <c r="E445" s="3">
        <v>1</v>
      </c>
      <c r="F445" s="3">
        <v>12</v>
      </c>
      <c r="G445" s="3" t="str">
        <f t="shared" si="39"/>
        <v>Afternoon</v>
      </c>
      <c r="H445" s="3" t="b">
        <v>0</v>
      </c>
      <c r="I445" s="3" t="str">
        <f t="shared" si="37"/>
        <v>Working day</v>
      </c>
      <c r="J445" s="3">
        <v>4</v>
      </c>
      <c r="K445" s="3" t="str">
        <f t="shared" si="40"/>
        <v>Friday</v>
      </c>
      <c r="L445" s="3">
        <v>2</v>
      </c>
      <c r="M445" s="3" t="str">
        <f t="shared" si="41"/>
        <v>Mild Cloudy</v>
      </c>
      <c r="N445" s="3">
        <v>0.3</v>
      </c>
      <c r="O445">
        <f t="shared" si="42"/>
        <v>30</v>
      </c>
    </row>
    <row r="446" spans="1:15" ht="13.2" x14ac:dyDescent="0.25">
      <c r="A446" s="3">
        <v>445</v>
      </c>
      <c r="B446" s="4">
        <v>40563</v>
      </c>
      <c r="C446" s="3">
        <v>1</v>
      </c>
      <c r="D446" s="3">
        <f t="shared" si="38"/>
        <v>2011</v>
      </c>
      <c r="E446" s="3">
        <v>1</v>
      </c>
      <c r="F446" s="3">
        <v>13</v>
      </c>
      <c r="G446" s="3" t="str">
        <f t="shared" si="39"/>
        <v>Afternoon</v>
      </c>
      <c r="H446" s="3" t="b">
        <v>0</v>
      </c>
      <c r="I446" s="3" t="str">
        <f t="shared" si="37"/>
        <v>Working day</v>
      </c>
      <c r="J446" s="3">
        <v>4</v>
      </c>
      <c r="K446" s="3" t="str">
        <f t="shared" si="40"/>
        <v>Friday</v>
      </c>
      <c r="L446" s="3">
        <v>2</v>
      </c>
      <c r="M446" s="3" t="str">
        <f t="shared" si="41"/>
        <v>Mild Cloudy</v>
      </c>
      <c r="N446" s="3">
        <v>0.28000000000000003</v>
      </c>
      <c r="O446">
        <f t="shared" si="42"/>
        <v>28.000000000000004</v>
      </c>
    </row>
    <row r="447" spans="1:15" ht="13.2" x14ac:dyDescent="0.25">
      <c r="A447" s="3">
        <v>446</v>
      </c>
      <c r="B447" s="4">
        <v>40563</v>
      </c>
      <c r="C447" s="3">
        <v>1</v>
      </c>
      <c r="D447" s="3">
        <f t="shared" si="38"/>
        <v>2011</v>
      </c>
      <c r="E447" s="3">
        <v>1</v>
      </c>
      <c r="F447" s="3">
        <v>14</v>
      </c>
      <c r="G447" s="3" t="str">
        <f t="shared" si="39"/>
        <v>Afternoon</v>
      </c>
      <c r="H447" s="3" t="b">
        <v>0</v>
      </c>
      <c r="I447" s="3" t="str">
        <f t="shared" si="37"/>
        <v>Working day</v>
      </c>
      <c r="J447" s="3">
        <v>4</v>
      </c>
      <c r="K447" s="3" t="str">
        <f t="shared" si="40"/>
        <v>Friday</v>
      </c>
      <c r="L447" s="3">
        <v>2</v>
      </c>
      <c r="M447" s="3" t="str">
        <f t="shared" si="41"/>
        <v>Mild Cloudy</v>
      </c>
      <c r="N447" s="3">
        <v>0.3</v>
      </c>
      <c r="O447">
        <f t="shared" si="42"/>
        <v>30</v>
      </c>
    </row>
    <row r="448" spans="1:15" ht="13.2" x14ac:dyDescent="0.25">
      <c r="A448" s="3">
        <v>447</v>
      </c>
      <c r="B448" s="4">
        <v>40563</v>
      </c>
      <c r="C448" s="3">
        <v>1</v>
      </c>
      <c r="D448" s="3">
        <f t="shared" si="38"/>
        <v>2011</v>
      </c>
      <c r="E448" s="3">
        <v>1</v>
      </c>
      <c r="F448" s="3">
        <v>15</v>
      </c>
      <c r="G448" s="3" t="str">
        <f t="shared" si="39"/>
        <v>Afternoon</v>
      </c>
      <c r="H448" s="3" t="b">
        <v>0</v>
      </c>
      <c r="I448" s="3" t="str">
        <f t="shared" si="37"/>
        <v>Working day</v>
      </c>
      <c r="J448" s="3">
        <v>4</v>
      </c>
      <c r="K448" s="3" t="str">
        <f t="shared" si="40"/>
        <v>Friday</v>
      </c>
      <c r="L448" s="3">
        <v>2</v>
      </c>
      <c r="M448" s="3" t="str">
        <f t="shared" si="41"/>
        <v>Mild Cloudy</v>
      </c>
      <c r="N448" s="3">
        <v>0.32</v>
      </c>
      <c r="O448">
        <f t="shared" si="42"/>
        <v>32</v>
      </c>
    </row>
    <row r="449" spans="1:15" ht="13.2" x14ac:dyDescent="0.25">
      <c r="A449" s="3">
        <v>448</v>
      </c>
      <c r="B449" s="4">
        <v>40563</v>
      </c>
      <c r="C449" s="3">
        <v>1</v>
      </c>
      <c r="D449" s="3">
        <f t="shared" si="38"/>
        <v>2011</v>
      </c>
      <c r="E449" s="3">
        <v>1</v>
      </c>
      <c r="F449" s="3">
        <v>16</v>
      </c>
      <c r="G449" s="3" t="str">
        <f t="shared" si="39"/>
        <v>Afternoon</v>
      </c>
      <c r="H449" s="3" t="b">
        <v>0</v>
      </c>
      <c r="I449" s="3" t="str">
        <f t="shared" si="37"/>
        <v>Working day</v>
      </c>
      <c r="J449" s="3">
        <v>4</v>
      </c>
      <c r="K449" s="3" t="str">
        <f t="shared" si="40"/>
        <v>Friday</v>
      </c>
      <c r="L449" s="3">
        <v>2</v>
      </c>
      <c r="M449" s="3" t="str">
        <f t="shared" si="41"/>
        <v>Mild Cloudy</v>
      </c>
      <c r="N449" s="3">
        <v>0.3</v>
      </c>
      <c r="O449">
        <f t="shared" si="42"/>
        <v>30</v>
      </c>
    </row>
    <row r="450" spans="1:15" ht="13.2" x14ac:dyDescent="0.25">
      <c r="A450" s="3">
        <v>449</v>
      </c>
      <c r="B450" s="4">
        <v>40563</v>
      </c>
      <c r="C450" s="3">
        <v>1</v>
      </c>
      <c r="D450" s="3">
        <f t="shared" si="38"/>
        <v>2011</v>
      </c>
      <c r="E450" s="3">
        <v>1</v>
      </c>
      <c r="F450" s="3">
        <v>17</v>
      </c>
      <c r="G450" s="3" t="str">
        <f t="shared" si="39"/>
        <v>Afternoon</v>
      </c>
      <c r="H450" s="3" t="b">
        <v>0</v>
      </c>
      <c r="I450" s="3" t="str">
        <f t="shared" ref="I450:I513" si="43">IF(H450=TRUE,"Holiday","Working day")</f>
        <v>Working day</v>
      </c>
      <c r="J450" s="3">
        <v>4</v>
      </c>
      <c r="K450" s="3" t="str">
        <f t="shared" si="40"/>
        <v>Friday</v>
      </c>
      <c r="L450" s="3">
        <v>2</v>
      </c>
      <c r="M450" s="3" t="str">
        <f t="shared" si="41"/>
        <v>Mild Cloudy</v>
      </c>
      <c r="N450" s="3">
        <v>0.3</v>
      </c>
      <c r="O450">
        <f t="shared" si="42"/>
        <v>30</v>
      </c>
    </row>
    <row r="451" spans="1:15" ht="13.2" x14ac:dyDescent="0.25">
      <c r="A451" s="3">
        <v>450</v>
      </c>
      <c r="B451" s="4">
        <v>40563</v>
      </c>
      <c r="C451" s="3">
        <v>1</v>
      </c>
      <c r="D451" s="3">
        <f t="shared" ref="D451:D514" si="44">YEAR(B451)</f>
        <v>2011</v>
      </c>
      <c r="E451" s="3">
        <v>1</v>
      </c>
      <c r="F451" s="3">
        <v>18</v>
      </c>
      <c r="G451" s="3" t="str">
        <f t="shared" ref="G451:G514" si="45">IF(AND(F451&gt;=0,F451&lt;6),"Night",IF(AND(F451&gt;=6,F451&lt;12),"Morning",IF(AND(F451&lt;18),"Afternoon","Evening")))</f>
        <v>Evening</v>
      </c>
      <c r="H451" s="3" t="b">
        <v>0</v>
      </c>
      <c r="I451" s="3" t="str">
        <f t="shared" si="43"/>
        <v>Working day</v>
      </c>
      <c r="J451" s="3">
        <v>4</v>
      </c>
      <c r="K451" s="3" t="str">
        <f t="shared" ref="K451:K514" si="46">CHOOSE(J451+1,"Monday","Tuesday","Wednesday","Thursday","Friday","Saturday","Sunday")</f>
        <v>Friday</v>
      </c>
      <c r="L451" s="3">
        <v>2</v>
      </c>
      <c r="M451" s="3" t="str">
        <f t="shared" ref="M451:M514" si="47">IF(L451=1,"Nice weather", IF(L451=2,"Mild Cloudy", IF(L451=3,"Dark Cloudy", IF(L451=4,"Thunderstrome","unknown"))))</f>
        <v>Mild Cloudy</v>
      </c>
      <c r="N451" s="3">
        <v>0.26</v>
      </c>
      <c r="O451">
        <f t="shared" ref="O451:O514" si="48">N451*100</f>
        <v>26</v>
      </c>
    </row>
    <row r="452" spans="1:15" ht="13.2" x14ac:dyDescent="0.25">
      <c r="A452" s="3">
        <v>451</v>
      </c>
      <c r="B452" s="4">
        <v>40563</v>
      </c>
      <c r="C452" s="3">
        <v>1</v>
      </c>
      <c r="D452" s="3">
        <f t="shared" si="44"/>
        <v>2011</v>
      </c>
      <c r="E452" s="3">
        <v>1</v>
      </c>
      <c r="F452" s="3">
        <v>19</v>
      </c>
      <c r="G452" s="3" t="str">
        <f t="shared" si="45"/>
        <v>Evening</v>
      </c>
      <c r="H452" s="3" t="b">
        <v>0</v>
      </c>
      <c r="I452" s="3" t="str">
        <f t="shared" si="43"/>
        <v>Working day</v>
      </c>
      <c r="J452" s="3">
        <v>4</v>
      </c>
      <c r="K452" s="3" t="str">
        <f t="shared" si="46"/>
        <v>Friday</v>
      </c>
      <c r="L452" s="3">
        <v>1</v>
      </c>
      <c r="M452" s="3" t="str">
        <f t="shared" si="47"/>
        <v>Nice weather</v>
      </c>
      <c r="N452" s="3">
        <v>0.26</v>
      </c>
      <c r="O452">
        <f t="shared" si="48"/>
        <v>26</v>
      </c>
    </row>
    <row r="453" spans="1:15" ht="13.2" x14ac:dyDescent="0.25">
      <c r="A453" s="3">
        <v>452</v>
      </c>
      <c r="B453" s="4">
        <v>40563</v>
      </c>
      <c r="C453" s="3">
        <v>1</v>
      </c>
      <c r="D453" s="3">
        <f t="shared" si="44"/>
        <v>2011</v>
      </c>
      <c r="E453" s="3">
        <v>1</v>
      </c>
      <c r="F453" s="3">
        <v>20</v>
      </c>
      <c r="G453" s="3" t="str">
        <f t="shared" si="45"/>
        <v>Evening</v>
      </c>
      <c r="H453" s="3" t="b">
        <v>0</v>
      </c>
      <c r="I453" s="3" t="str">
        <f t="shared" si="43"/>
        <v>Working day</v>
      </c>
      <c r="J453" s="3">
        <v>4</v>
      </c>
      <c r="K453" s="3" t="str">
        <f t="shared" si="46"/>
        <v>Friday</v>
      </c>
      <c r="L453" s="3">
        <v>2</v>
      </c>
      <c r="M453" s="3" t="str">
        <f t="shared" si="47"/>
        <v>Mild Cloudy</v>
      </c>
      <c r="N453" s="3">
        <v>0.26</v>
      </c>
      <c r="O453">
        <f t="shared" si="48"/>
        <v>26</v>
      </c>
    </row>
    <row r="454" spans="1:15" ht="13.2" x14ac:dyDescent="0.25">
      <c r="A454" s="3">
        <v>453</v>
      </c>
      <c r="B454" s="4">
        <v>40563</v>
      </c>
      <c r="C454" s="3">
        <v>1</v>
      </c>
      <c r="D454" s="3">
        <f t="shared" si="44"/>
        <v>2011</v>
      </c>
      <c r="E454" s="3">
        <v>1</v>
      </c>
      <c r="F454" s="3">
        <v>21</v>
      </c>
      <c r="G454" s="3" t="str">
        <f t="shared" si="45"/>
        <v>Evening</v>
      </c>
      <c r="H454" s="3" t="b">
        <v>0</v>
      </c>
      <c r="I454" s="3" t="str">
        <f t="shared" si="43"/>
        <v>Working day</v>
      </c>
      <c r="J454" s="3">
        <v>4</v>
      </c>
      <c r="K454" s="3" t="str">
        <f t="shared" si="46"/>
        <v>Friday</v>
      </c>
      <c r="L454" s="3">
        <v>2</v>
      </c>
      <c r="M454" s="3" t="str">
        <f t="shared" si="47"/>
        <v>Mild Cloudy</v>
      </c>
      <c r="N454" s="3">
        <v>0.24</v>
      </c>
      <c r="O454">
        <f t="shared" si="48"/>
        <v>24</v>
      </c>
    </row>
    <row r="455" spans="1:15" ht="13.2" x14ac:dyDescent="0.25">
      <c r="A455" s="3">
        <v>454</v>
      </c>
      <c r="B455" s="4">
        <v>40563</v>
      </c>
      <c r="C455" s="3">
        <v>1</v>
      </c>
      <c r="D455" s="3">
        <f t="shared" si="44"/>
        <v>2011</v>
      </c>
      <c r="E455" s="3">
        <v>1</v>
      </c>
      <c r="F455" s="3">
        <v>22</v>
      </c>
      <c r="G455" s="3" t="str">
        <f t="shared" si="45"/>
        <v>Evening</v>
      </c>
      <c r="H455" s="3" t="b">
        <v>0</v>
      </c>
      <c r="I455" s="3" t="str">
        <f t="shared" si="43"/>
        <v>Working day</v>
      </c>
      <c r="J455" s="3">
        <v>4</v>
      </c>
      <c r="K455" s="3" t="str">
        <f t="shared" si="46"/>
        <v>Friday</v>
      </c>
      <c r="L455" s="3">
        <v>2</v>
      </c>
      <c r="M455" s="3" t="str">
        <f t="shared" si="47"/>
        <v>Mild Cloudy</v>
      </c>
      <c r="N455" s="3">
        <v>0.24</v>
      </c>
      <c r="O455">
        <f t="shared" si="48"/>
        <v>24</v>
      </c>
    </row>
    <row r="456" spans="1:15" ht="13.2" x14ac:dyDescent="0.25">
      <c r="A456" s="3">
        <v>455</v>
      </c>
      <c r="B456" s="4">
        <v>40563</v>
      </c>
      <c r="C456" s="3">
        <v>1</v>
      </c>
      <c r="D456" s="3">
        <f t="shared" si="44"/>
        <v>2011</v>
      </c>
      <c r="E456" s="3">
        <v>1</v>
      </c>
      <c r="F456" s="3">
        <v>23</v>
      </c>
      <c r="G456" s="3" t="str">
        <f t="shared" si="45"/>
        <v>Evening</v>
      </c>
      <c r="H456" s="3" t="b">
        <v>0</v>
      </c>
      <c r="I456" s="3" t="str">
        <f t="shared" si="43"/>
        <v>Working day</v>
      </c>
      <c r="J456" s="3">
        <v>4</v>
      </c>
      <c r="K456" s="3" t="str">
        <f t="shared" si="46"/>
        <v>Friday</v>
      </c>
      <c r="L456" s="3">
        <v>2</v>
      </c>
      <c r="M456" s="3" t="str">
        <f t="shared" si="47"/>
        <v>Mild Cloudy</v>
      </c>
      <c r="N456" s="3">
        <v>0.24</v>
      </c>
      <c r="O456">
        <f t="shared" si="48"/>
        <v>24</v>
      </c>
    </row>
    <row r="457" spans="1:15" ht="13.2" x14ac:dyDescent="0.25">
      <c r="A457" s="3">
        <v>456</v>
      </c>
      <c r="B457" s="4">
        <v>40564</v>
      </c>
      <c r="C457" s="3">
        <v>1</v>
      </c>
      <c r="D457" s="3">
        <f t="shared" si="44"/>
        <v>2011</v>
      </c>
      <c r="E457" s="3">
        <v>1</v>
      </c>
      <c r="F457" s="3">
        <v>0</v>
      </c>
      <c r="G457" s="3" t="str">
        <f t="shared" si="45"/>
        <v>Night</v>
      </c>
      <c r="H457" s="3" t="b">
        <v>0</v>
      </c>
      <c r="I457" s="3" t="str">
        <f t="shared" si="43"/>
        <v>Working day</v>
      </c>
      <c r="J457" s="3">
        <v>5</v>
      </c>
      <c r="K457" s="3" t="str">
        <f t="shared" si="46"/>
        <v>Saturday</v>
      </c>
      <c r="L457" s="3">
        <v>2</v>
      </c>
      <c r="M457" s="3" t="str">
        <f t="shared" si="47"/>
        <v>Mild Cloudy</v>
      </c>
      <c r="N457" s="3">
        <v>0.24</v>
      </c>
      <c r="O457">
        <f t="shared" si="48"/>
        <v>24</v>
      </c>
    </row>
    <row r="458" spans="1:15" ht="13.2" x14ac:dyDescent="0.25">
      <c r="A458" s="3">
        <v>457</v>
      </c>
      <c r="B458" s="4">
        <v>40564</v>
      </c>
      <c r="C458" s="3">
        <v>1</v>
      </c>
      <c r="D458" s="3">
        <f t="shared" si="44"/>
        <v>2011</v>
      </c>
      <c r="E458" s="3">
        <v>1</v>
      </c>
      <c r="F458" s="3">
        <v>1</v>
      </c>
      <c r="G458" s="3" t="str">
        <f t="shared" si="45"/>
        <v>Night</v>
      </c>
      <c r="H458" s="3" t="b">
        <v>0</v>
      </c>
      <c r="I458" s="3" t="str">
        <f t="shared" si="43"/>
        <v>Working day</v>
      </c>
      <c r="J458" s="3">
        <v>5</v>
      </c>
      <c r="K458" s="3" t="str">
        <f t="shared" si="46"/>
        <v>Saturday</v>
      </c>
      <c r="L458" s="3">
        <v>2</v>
      </c>
      <c r="M458" s="3" t="str">
        <f t="shared" si="47"/>
        <v>Mild Cloudy</v>
      </c>
      <c r="N458" s="3">
        <v>0.24</v>
      </c>
      <c r="O458">
        <f t="shared" si="48"/>
        <v>24</v>
      </c>
    </row>
    <row r="459" spans="1:15" ht="13.2" x14ac:dyDescent="0.25">
      <c r="A459" s="3">
        <v>458</v>
      </c>
      <c r="B459" s="4">
        <v>40564</v>
      </c>
      <c r="C459" s="3">
        <v>1</v>
      </c>
      <c r="D459" s="3">
        <f t="shared" si="44"/>
        <v>2011</v>
      </c>
      <c r="E459" s="3">
        <v>1</v>
      </c>
      <c r="F459" s="3">
        <v>2</v>
      </c>
      <c r="G459" s="3" t="str">
        <f t="shared" si="45"/>
        <v>Night</v>
      </c>
      <c r="H459" s="3" t="b">
        <v>0</v>
      </c>
      <c r="I459" s="3" t="str">
        <f t="shared" si="43"/>
        <v>Working day</v>
      </c>
      <c r="J459" s="3">
        <v>5</v>
      </c>
      <c r="K459" s="3" t="str">
        <f t="shared" si="46"/>
        <v>Saturday</v>
      </c>
      <c r="L459" s="3">
        <v>3</v>
      </c>
      <c r="M459" s="3" t="str">
        <f t="shared" si="47"/>
        <v>Dark Cloudy</v>
      </c>
      <c r="N459" s="3">
        <v>0.24</v>
      </c>
      <c r="O459">
        <f t="shared" si="48"/>
        <v>24</v>
      </c>
    </row>
    <row r="460" spans="1:15" ht="13.2" x14ac:dyDescent="0.25">
      <c r="A460" s="3">
        <v>459</v>
      </c>
      <c r="B460" s="4">
        <v>40564</v>
      </c>
      <c r="C460" s="3">
        <v>1</v>
      </c>
      <c r="D460" s="3">
        <f t="shared" si="44"/>
        <v>2011</v>
      </c>
      <c r="E460" s="3">
        <v>1</v>
      </c>
      <c r="F460" s="3">
        <v>3</v>
      </c>
      <c r="G460" s="3" t="str">
        <f t="shared" si="45"/>
        <v>Night</v>
      </c>
      <c r="H460" s="3" t="b">
        <v>0</v>
      </c>
      <c r="I460" s="3" t="str">
        <f t="shared" si="43"/>
        <v>Working day</v>
      </c>
      <c r="J460" s="3">
        <v>5</v>
      </c>
      <c r="K460" s="3" t="str">
        <f t="shared" si="46"/>
        <v>Saturday</v>
      </c>
      <c r="L460" s="3">
        <v>3</v>
      </c>
      <c r="M460" s="3" t="str">
        <f t="shared" si="47"/>
        <v>Dark Cloudy</v>
      </c>
      <c r="N460" s="3">
        <v>0.22</v>
      </c>
      <c r="O460">
        <f t="shared" si="48"/>
        <v>22</v>
      </c>
    </row>
    <row r="461" spans="1:15" ht="13.2" x14ac:dyDescent="0.25">
      <c r="A461" s="3">
        <v>460</v>
      </c>
      <c r="B461" s="4">
        <v>40564</v>
      </c>
      <c r="C461" s="3">
        <v>1</v>
      </c>
      <c r="D461" s="3">
        <f t="shared" si="44"/>
        <v>2011</v>
      </c>
      <c r="E461" s="3">
        <v>1</v>
      </c>
      <c r="F461" s="3">
        <v>4</v>
      </c>
      <c r="G461" s="3" t="str">
        <f t="shared" si="45"/>
        <v>Night</v>
      </c>
      <c r="H461" s="3" t="b">
        <v>0</v>
      </c>
      <c r="I461" s="3" t="str">
        <f t="shared" si="43"/>
        <v>Working day</v>
      </c>
      <c r="J461" s="3">
        <v>5</v>
      </c>
      <c r="K461" s="3" t="str">
        <f t="shared" si="46"/>
        <v>Saturday</v>
      </c>
      <c r="L461" s="3">
        <v>2</v>
      </c>
      <c r="M461" s="3" t="str">
        <f t="shared" si="47"/>
        <v>Mild Cloudy</v>
      </c>
      <c r="N461" s="3">
        <v>0.22</v>
      </c>
      <c r="O461">
        <f t="shared" si="48"/>
        <v>22</v>
      </c>
    </row>
    <row r="462" spans="1:15" ht="13.2" x14ac:dyDescent="0.25">
      <c r="A462" s="3">
        <v>461</v>
      </c>
      <c r="B462" s="4">
        <v>40564</v>
      </c>
      <c r="C462" s="3">
        <v>1</v>
      </c>
      <c r="D462" s="3">
        <f t="shared" si="44"/>
        <v>2011</v>
      </c>
      <c r="E462" s="3">
        <v>1</v>
      </c>
      <c r="F462" s="3">
        <v>5</v>
      </c>
      <c r="G462" s="3" t="str">
        <f t="shared" si="45"/>
        <v>Night</v>
      </c>
      <c r="H462" s="3" t="b">
        <v>0</v>
      </c>
      <c r="I462" s="3" t="str">
        <f t="shared" si="43"/>
        <v>Working day</v>
      </c>
      <c r="J462" s="3">
        <v>5</v>
      </c>
      <c r="K462" s="3" t="str">
        <f t="shared" si="46"/>
        <v>Saturday</v>
      </c>
      <c r="L462" s="3">
        <v>1</v>
      </c>
      <c r="M462" s="3" t="str">
        <f t="shared" si="47"/>
        <v>Nice weather</v>
      </c>
      <c r="N462" s="3">
        <v>0.24</v>
      </c>
      <c r="O462">
        <f t="shared" si="48"/>
        <v>24</v>
      </c>
    </row>
    <row r="463" spans="1:15" ht="13.2" x14ac:dyDescent="0.25">
      <c r="A463" s="3">
        <v>462</v>
      </c>
      <c r="B463" s="4">
        <v>40564</v>
      </c>
      <c r="C463" s="3">
        <v>1</v>
      </c>
      <c r="D463" s="3">
        <f t="shared" si="44"/>
        <v>2011</v>
      </c>
      <c r="E463" s="3">
        <v>1</v>
      </c>
      <c r="F463" s="3">
        <v>6</v>
      </c>
      <c r="G463" s="3" t="str">
        <f t="shared" si="45"/>
        <v>Morning</v>
      </c>
      <c r="H463" s="3" t="b">
        <v>0</v>
      </c>
      <c r="I463" s="3" t="str">
        <f t="shared" si="43"/>
        <v>Working day</v>
      </c>
      <c r="J463" s="3">
        <v>5</v>
      </c>
      <c r="K463" s="3" t="str">
        <f t="shared" si="46"/>
        <v>Saturday</v>
      </c>
      <c r="L463" s="3">
        <v>1</v>
      </c>
      <c r="M463" s="3" t="str">
        <f t="shared" si="47"/>
        <v>Nice weather</v>
      </c>
      <c r="N463" s="3">
        <v>0.22</v>
      </c>
      <c r="O463">
        <f t="shared" si="48"/>
        <v>22</v>
      </c>
    </row>
    <row r="464" spans="1:15" ht="13.2" x14ac:dyDescent="0.25">
      <c r="A464" s="3">
        <v>463</v>
      </c>
      <c r="B464" s="4">
        <v>40564</v>
      </c>
      <c r="C464" s="3">
        <v>1</v>
      </c>
      <c r="D464" s="3">
        <f t="shared" si="44"/>
        <v>2011</v>
      </c>
      <c r="E464" s="3">
        <v>1</v>
      </c>
      <c r="F464" s="3">
        <v>7</v>
      </c>
      <c r="G464" s="3" t="str">
        <f t="shared" si="45"/>
        <v>Morning</v>
      </c>
      <c r="H464" s="3" t="b">
        <v>0</v>
      </c>
      <c r="I464" s="3" t="str">
        <f t="shared" si="43"/>
        <v>Working day</v>
      </c>
      <c r="J464" s="3">
        <v>5</v>
      </c>
      <c r="K464" s="3" t="str">
        <f t="shared" si="46"/>
        <v>Saturday</v>
      </c>
      <c r="L464" s="3">
        <v>1</v>
      </c>
      <c r="M464" s="3" t="str">
        <f t="shared" si="47"/>
        <v>Nice weather</v>
      </c>
      <c r="N464" s="3">
        <v>0.2</v>
      </c>
      <c r="O464">
        <f t="shared" si="48"/>
        <v>20</v>
      </c>
    </row>
    <row r="465" spans="1:15" ht="13.2" x14ac:dyDescent="0.25">
      <c r="A465" s="3">
        <v>464</v>
      </c>
      <c r="B465" s="4">
        <v>40564</v>
      </c>
      <c r="C465" s="3">
        <v>1</v>
      </c>
      <c r="D465" s="3">
        <f t="shared" si="44"/>
        <v>2011</v>
      </c>
      <c r="E465" s="3">
        <v>1</v>
      </c>
      <c r="F465" s="3">
        <v>8</v>
      </c>
      <c r="G465" s="3" t="str">
        <f t="shared" si="45"/>
        <v>Morning</v>
      </c>
      <c r="H465" s="3" t="b">
        <v>0</v>
      </c>
      <c r="I465" s="3" t="str">
        <f t="shared" si="43"/>
        <v>Working day</v>
      </c>
      <c r="J465" s="3">
        <v>5</v>
      </c>
      <c r="K465" s="3" t="str">
        <f t="shared" si="46"/>
        <v>Saturday</v>
      </c>
      <c r="L465" s="3">
        <v>1</v>
      </c>
      <c r="M465" s="3" t="str">
        <f t="shared" si="47"/>
        <v>Nice weather</v>
      </c>
      <c r="N465" s="3">
        <v>0.2</v>
      </c>
      <c r="O465">
        <f t="shared" si="48"/>
        <v>20</v>
      </c>
    </row>
    <row r="466" spans="1:15" ht="13.2" x14ac:dyDescent="0.25">
      <c r="A466" s="3">
        <v>465</v>
      </c>
      <c r="B466" s="4">
        <v>40564</v>
      </c>
      <c r="C466" s="3">
        <v>1</v>
      </c>
      <c r="D466" s="3">
        <f t="shared" si="44"/>
        <v>2011</v>
      </c>
      <c r="E466" s="3">
        <v>1</v>
      </c>
      <c r="F466" s="3">
        <v>9</v>
      </c>
      <c r="G466" s="3" t="str">
        <f t="shared" si="45"/>
        <v>Morning</v>
      </c>
      <c r="H466" s="3" t="b">
        <v>0</v>
      </c>
      <c r="I466" s="3" t="str">
        <f t="shared" si="43"/>
        <v>Working day</v>
      </c>
      <c r="J466" s="3">
        <v>5</v>
      </c>
      <c r="K466" s="3" t="str">
        <f t="shared" si="46"/>
        <v>Saturday</v>
      </c>
      <c r="L466" s="3">
        <v>1</v>
      </c>
      <c r="M466" s="3" t="str">
        <f t="shared" si="47"/>
        <v>Nice weather</v>
      </c>
      <c r="N466" s="3">
        <v>0.2</v>
      </c>
      <c r="O466">
        <f t="shared" si="48"/>
        <v>20</v>
      </c>
    </row>
    <row r="467" spans="1:15" ht="13.2" x14ac:dyDescent="0.25">
      <c r="A467" s="3">
        <v>466</v>
      </c>
      <c r="B467" s="4">
        <v>40564</v>
      </c>
      <c r="C467" s="3">
        <v>1</v>
      </c>
      <c r="D467" s="3">
        <f t="shared" si="44"/>
        <v>2011</v>
      </c>
      <c r="E467" s="3">
        <v>1</v>
      </c>
      <c r="F467" s="3">
        <v>10</v>
      </c>
      <c r="G467" s="3" t="str">
        <f t="shared" si="45"/>
        <v>Morning</v>
      </c>
      <c r="H467" s="3" t="b">
        <v>0</v>
      </c>
      <c r="I467" s="3" t="str">
        <f t="shared" si="43"/>
        <v>Working day</v>
      </c>
      <c r="J467" s="3">
        <v>5</v>
      </c>
      <c r="K467" s="3" t="str">
        <f t="shared" si="46"/>
        <v>Saturday</v>
      </c>
      <c r="L467" s="3">
        <v>1</v>
      </c>
      <c r="M467" s="3" t="str">
        <f t="shared" si="47"/>
        <v>Nice weather</v>
      </c>
      <c r="N467" s="3">
        <v>0.2</v>
      </c>
      <c r="O467">
        <f t="shared" si="48"/>
        <v>20</v>
      </c>
    </row>
    <row r="468" spans="1:15" ht="13.2" x14ac:dyDescent="0.25">
      <c r="A468" s="3">
        <v>467</v>
      </c>
      <c r="B468" s="4">
        <v>40564</v>
      </c>
      <c r="C468" s="3">
        <v>1</v>
      </c>
      <c r="D468" s="3">
        <f t="shared" si="44"/>
        <v>2011</v>
      </c>
      <c r="E468" s="3">
        <v>1</v>
      </c>
      <c r="F468" s="3">
        <v>11</v>
      </c>
      <c r="G468" s="3" t="str">
        <f t="shared" si="45"/>
        <v>Morning</v>
      </c>
      <c r="H468" s="3" t="b">
        <v>0</v>
      </c>
      <c r="I468" s="3" t="str">
        <f t="shared" si="43"/>
        <v>Working day</v>
      </c>
      <c r="J468" s="3">
        <v>5</v>
      </c>
      <c r="K468" s="3" t="str">
        <f t="shared" si="46"/>
        <v>Saturday</v>
      </c>
      <c r="L468" s="3">
        <v>1</v>
      </c>
      <c r="M468" s="3" t="str">
        <f t="shared" si="47"/>
        <v>Nice weather</v>
      </c>
      <c r="N468" s="3">
        <v>0.22</v>
      </c>
      <c r="O468">
        <f t="shared" si="48"/>
        <v>22</v>
      </c>
    </row>
    <row r="469" spans="1:15" ht="13.2" x14ac:dyDescent="0.25">
      <c r="A469" s="3">
        <v>468</v>
      </c>
      <c r="B469" s="4">
        <v>40564</v>
      </c>
      <c r="C469" s="3">
        <v>1</v>
      </c>
      <c r="D469" s="3">
        <f t="shared" si="44"/>
        <v>2011</v>
      </c>
      <c r="E469" s="3">
        <v>1</v>
      </c>
      <c r="F469" s="3">
        <v>12</v>
      </c>
      <c r="G469" s="3" t="str">
        <f t="shared" si="45"/>
        <v>Afternoon</v>
      </c>
      <c r="H469" s="3" t="b">
        <v>0</v>
      </c>
      <c r="I469" s="3" t="str">
        <f t="shared" si="43"/>
        <v>Working day</v>
      </c>
      <c r="J469" s="3">
        <v>5</v>
      </c>
      <c r="K469" s="3" t="str">
        <f t="shared" si="46"/>
        <v>Saturday</v>
      </c>
      <c r="L469" s="3">
        <v>1</v>
      </c>
      <c r="M469" s="3" t="str">
        <f t="shared" si="47"/>
        <v>Nice weather</v>
      </c>
      <c r="N469" s="3">
        <v>0.22</v>
      </c>
      <c r="O469">
        <f t="shared" si="48"/>
        <v>22</v>
      </c>
    </row>
    <row r="470" spans="1:15" ht="13.2" x14ac:dyDescent="0.25">
      <c r="A470" s="3">
        <v>469</v>
      </c>
      <c r="B470" s="4">
        <v>40564</v>
      </c>
      <c r="C470" s="3">
        <v>1</v>
      </c>
      <c r="D470" s="3">
        <f t="shared" si="44"/>
        <v>2011</v>
      </c>
      <c r="E470" s="3">
        <v>1</v>
      </c>
      <c r="F470" s="3">
        <v>13</v>
      </c>
      <c r="G470" s="3" t="str">
        <f t="shared" si="45"/>
        <v>Afternoon</v>
      </c>
      <c r="H470" s="3" t="b">
        <v>0</v>
      </c>
      <c r="I470" s="3" t="str">
        <f t="shared" si="43"/>
        <v>Working day</v>
      </c>
      <c r="J470" s="3">
        <v>5</v>
      </c>
      <c r="K470" s="3" t="str">
        <f t="shared" si="46"/>
        <v>Saturday</v>
      </c>
      <c r="L470" s="3">
        <v>1</v>
      </c>
      <c r="M470" s="3" t="str">
        <f t="shared" si="47"/>
        <v>Nice weather</v>
      </c>
      <c r="N470" s="3">
        <v>0.2</v>
      </c>
      <c r="O470">
        <f t="shared" si="48"/>
        <v>20</v>
      </c>
    </row>
    <row r="471" spans="1:15" ht="13.2" x14ac:dyDescent="0.25">
      <c r="A471" s="3">
        <v>470</v>
      </c>
      <c r="B471" s="4">
        <v>40564</v>
      </c>
      <c r="C471" s="3">
        <v>1</v>
      </c>
      <c r="D471" s="3">
        <f t="shared" si="44"/>
        <v>2011</v>
      </c>
      <c r="E471" s="3">
        <v>1</v>
      </c>
      <c r="F471" s="3">
        <v>14</v>
      </c>
      <c r="G471" s="3" t="str">
        <f t="shared" si="45"/>
        <v>Afternoon</v>
      </c>
      <c r="H471" s="3" t="b">
        <v>0</v>
      </c>
      <c r="I471" s="3" t="str">
        <f t="shared" si="43"/>
        <v>Working day</v>
      </c>
      <c r="J471" s="3">
        <v>5</v>
      </c>
      <c r="K471" s="3" t="str">
        <f t="shared" si="46"/>
        <v>Saturday</v>
      </c>
      <c r="L471" s="3">
        <v>1</v>
      </c>
      <c r="M471" s="3" t="str">
        <f t="shared" si="47"/>
        <v>Nice weather</v>
      </c>
      <c r="N471" s="3">
        <v>0.2</v>
      </c>
      <c r="O471">
        <f t="shared" si="48"/>
        <v>20</v>
      </c>
    </row>
    <row r="472" spans="1:15" ht="13.2" x14ac:dyDescent="0.25">
      <c r="A472" s="3">
        <v>471</v>
      </c>
      <c r="B472" s="4">
        <v>40564</v>
      </c>
      <c r="C472" s="3">
        <v>1</v>
      </c>
      <c r="D472" s="3">
        <f t="shared" si="44"/>
        <v>2011</v>
      </c>
      <c r="E472" s="3">
        <v>1</v>
      </c>
      <c r="F472" s="3">
        <v>15</v>
      </c>
      <c r="G472" s="3" t="str">
        <f t="shared" si="45"/>
        <v>Afternoon</v>
      </c>
      <c r="H472" s="3" t="b">
        <v>0</v>
      </c>
      <c r="I472" s="3" t="str">
        <f t="shared" si="43"/>
        <v>Working day</v>
      </c>
      <c r="J472" s="3">
        <v>5</v>
      </c>
      <c r="K472" s="3" t="str">
        <f t="shared" si="46"/>
        <v>Saturday</v>
      </c>
      <c r="L472" s="3">
        <v>1</v>
      </c>
      <c r="M472" s="3" t="str">
        <f t="shared" si="47"/>
        <v>Nice weather</v>
      </c>
      <c r="N472" s="3">
        <v>0.16</v>
      </c>
      <c r="O472">
        <f t="shared" si="48"/>
        <v>16</v>
      </c>
    </row>
    <row r="473" spans="1:15" ht="13.2" x14ac:dyDescent="0.25">
      <c r="A473" s="3">
        <v>472</v>
      </c>
      <c r="B473" s="4">
        <v>40564</v>
      </c>
      <c r="C473" s="3">
        <v>1</v>
      </c>
      <c r="D473" s="3">
        <f t="shared" si="44"/>
        <v>2011</v>
      </c>
      <c r="E473" s="3">
        <v>1</v>
      </c>
      <c r="F473" s="3">
        <v>16</v>
      </c>
      <c r="G473" s="3" t="str">
        <f t="shared" si="45"/>
        <v>Afternoon</v>
      </c>
      <c r="H473" s="3" t="b">
        <v>0</v>
      </c>
      <c r="I473" s="3" t="str">
        <f t="shared" si="43"/>
        <v>Working day</v>
      </c>
      <c r="J473" s="3">
        <v>5</v>
      </c>
      <c r="K473" s="3" t="str">
        <f t="shared" si="46"/>
        <v>Saturday</v>
      </c>
      <c r="L473" s="3">
        <v>1</v>
      </c>
      <c r="M473" s="3" t="str">
        <f t="shared" si="47"/>
        <v>Nice weather</v>
      </c>
      <c r="N473" s="3">
        <v>0.16</v>
      </c>
      <c r="O473">
        <f t="shared" si="48"/>
        <v>16</v>
      </c>
    </row>
    <row r="474" spans="1:15" ht="13.2" x14ac:dyDescent="0.25">
      <c r="A474" s="3">
        <v>473</v>
      </c>
      <c r="B474" s="4">
        <v>40564</v>
      </c>
      <c r="C474" s="3">
        <v>1</v>
      </c>
      <c r="D474" s="3">
        <f t="shared" si="44"/>
        <v>2011</v>
      </c>
      <c r="E474" s="3">
        <v>1</v>
      </c>
      <c r="F474" s="3">
        <v>17</v>
      </c>
      <c r="G474" s="3" t="str">
        <f t="shared" si="45"/>
        <v>Afternoon</v>
      </c>
      <c r="H474" s="3" t="b">
        <v>0</v>
      </c>
      <c r="I474" s="3" t="str">
        <f t="shared" si="43"/>
        <v>Working day</v>
      </c>
      <c r="J474" s="3">
        <v>5</v>
      </c>
      <c r="K474" s="3" t="str">
        <f t="shared" si="46"/>
        <v>Saturday</v>
      </c>
      <c r="L474" s="3">
        <v>1</v>
      </c>
      <c r="M474" s="3" t="str">
        <f t="shared" si="47"/>
        <v>Nice weather</v>
      </c>
      <c r="N474" s="3">
        <v>0.14000000000000001</v>
      </c>
      <c r="O474">
        <f t="shared" si="48"/>
        <v>14.000000000000002</v>
      </c>
    </row>
    <row r="475" spans="1:15" ht="13.2" x14ac:dyDescent="0.25">
      <c r="A475" s="3">
        <v>474</v>
      </c>
      <c r="B475" s="4">
        <v>40564</v>
      </c>
      <c r="C475" s="3">
        <v>1</v>
      </c>
      <c r="D475" s="3">
        <f t="shared" si="44"/>
        <v>2011</v>
      </c>
      <c r="E475" s="3">
        <v>1</v>
      </c>
      <c r="F475" s="3">
        <v>18</v>
      </c>
      <c r="G475" s="3" t="str">
        <f t="shared" si="45"/>
        <v>Evening</v>
      </c>
      <c r="H475" s="3" t="b">
        <v>0</v>
      </c>
      <c r="I475" s="3" t="str">
        <f t="shared" si="43"/>
        <v>Working day</v>
      </c>
      <c r="J475" s="3">
        <v>5</v>
      </c>
      <c r="K475" s="3" t="str">
        <f t="shared" si="46"/>
        <v>Saturday</v>
      </c>
      <c r="L475" s="3">
        <v>1</v>
      </c>
      <c r="M475" s="3" t="str">
        <f t="shared" si="47"/>
        <v>Nice weather</v>
      </c>
      <c r="N475" s="3">
        <v>0.12</v>
      </c>
      <c r="O475">
        <f t="shared" si="48"/>
        <v>12</v>
      </c>
    </row>
    <row r="476" spans="1:15" ht="13.2" x14ac:dyDescent="0.25">
      <c r="A476" s="3">
        <v>475</v>
      </c>
      <c r="B476" s="4">
        <v>40564</v>
      </c>
      <c r="C476" s="3">
        <v>1</v>
      </c>
      <c r="D476" s="3">
        <f t="shared" si="44"/>
        <v>2011</v>
      </c>
      <c r="E476" s="3">
        <v>1</v>
      </c>
      <c r="F476" s="3">
        <v>19</v>
      </c>
      <c r="G476" s="3" t="str">
        <f t="shared" si="45"/>
        <v>Evening</v>
      </c>
      <c r="H476" s="3" t="b">
        <v>0</v>
      </c>
      <c r="I476" s="3" t="str">
        <f t="shared" si="43"/>
        <v>Working day</v>
      </c>
      <c r="J476" s="3">
        <v>5</v>
      </c>
      <c r="K476" s="3" t="str">
        <f t="shared" si="46"/>
        <v>Saturday</v>
      </c>
      <c r="L476" s="3">
        <v>1</v>
      </c>
      <c r="M476" s="3" t="str">
        <f t="shared" si="47"/>
        <v>Nice weather</v>
      </c>
      <c r="N476" s="3">
        <v>0.12</v>
      </c>
      <c r="O476">
        <f t="shared" si="48"/>
        <v>12</v>
      </c>
    </row>
    <row r="477" spans="1:15" ht="13.2" x14ac:dyDescent="0.25">
      <c r="A477" s="3">
        <v>476</v>
      </c>
      <c r="B477" s="4">
        <v>40564</v>
      </c>
      <c r="C477" s="3">
        <v>1</v>
      </c>
      <c r="D477" s="3">
        <f t="shared" si="44"/>
        <v>2011</v>
      </c>
      <c r="E477" s="3">
        <v>1</v>
      </c>
      <c r="F477" s="3">
        <v>20</v>
      </c>
      <c r="G477" s="3" t="str">
        <f t="shared" si="45"/>
        <v>Evening</v>
      </c>
      <c r="H477" s="3" t="b">
        <v>0</v>
      </c>
      <c r="I477" s="3" t="str">
        <f t="shared" si="43"/>
        <v>Working day</v>
      </c>
      <c r="J477" s="3">
        <v>5</v>
      </c>
      <c r="K477" s="3" t="str">
        <f t="shared" si="46"/>
        <v>Saturday</v>
      </c>
      <c r="L477" s="3">
        <v>1</v>
      </c>
      <c r="M477" s="3" t="str">
        <f t="shared" si="47"/>
        <v>Nice weather</v>
      </c>
      <c r="N477" s="3">
        <v>0.1</v>
      </c>
      <c r="O477">
        <f t="shared" si="48"/>
        <v>10</v>
      </c>
    </row>
    <row r="478" spans="1:15" ht="13.2" x14ac:dyDescent="0.25">
      <c r="A478" s="3">
        <v>477</v>
      </c>
      <c r="B478" s="4">
        <v>40564</v>
      </c>
      <c r="C478" s="3">
        <v>1</v>
      </c>
      <c r="D478" s="3">
        <f t="shared" si="44"/>
        <v>2011</v>
      </c>
      <c r="E478" s="3">
        <v>1</v>
      </c>
      <c r="F478" s="3">
        <v>21</v>
      </c>
      <c r="G478" s="3" t="str">
        <f t="shared" si="45"/>
        <v>Evening</v>
      </c>
      <c r="H478" s="3" t="b">
        <v>0</v>
      </c>
      <c r="I478" s="3" t="str">
        <f t="shared" si="43"/>
        <v>Working day</v>
      </c>
      <c r="J478" s="3">
        <v>5</v>
      </c>
      <c r="K478" s="3" t="str">
        <f t="shared" si="46"/>
        <v>Saturday</v>
      </c>
      <c r="L478" s="3">
        <v>1</v>
      </c>
      <c r="M478" s="3" t="str">
        <f t="shared" si="47"/>
        <v>Nice weather</v>
      </c>
      <c r="N478" s="3">
        <v>0.08</v>
      </c>
      <c r="O478">
        <f t="shared" si="48"/>
        <v>8</v>
      </c>
    </row>
    <row r="479" spans="1:15" ht="13.2" x14ac:dyDescent="0.25">
      <c r="A479" s="3">
        <v>478</v>
      </c>
      <c r="B479" s="4">
        <v>40564</v>
      </c>
      <c r="C479" s="3">
        <v>1</v>
      </c>
      <c r="D479" s="3">
        <f t="shared" si="44"/>
        <v>2011</v>
      </c>
      <c r="E479" s="3">
        <v>1</v>
      </c>
      <c r="F479" s="3">
        <v>22</v>
      </c>
      <c r="G479" s="3" t="str">
        <f t="shared" si="45"/>
        <v>Evening</v>
      </c>
      <c r="H479" s="3" t="b">
        <v>0</v>
      </c>
      <c r="I479" s="3" t="str">
        <f t="shared" si="43"/>
        <v>Working day</v>
      </c>
      <c r="J479" s="3">
        <v>5</v>
      </c>
      <c r="K479" s="3" t="str">
        <f t="shared" si="46"/>
        <v>Saturday</v>
      </c>
      <c r="L479" s="3">
        <v>1</v>
      </c>
      <c r="M479" s="3" t="str">
        <f t="shared" si="47"/>
        <v>Nice weather</v>
      </c>
      <c r="N479" s="3">
        <v>0.06</v>
      </c>
      <c r="O479">
        <f t="shared" si="48"/>
        <v>6</v>
      </c>
    </row>
    <row r="480" spans="1:15" ht="13.2" x14ac:dyDescent="0.25">
      <c r="A480" s="3">
        <v>479</v>
      </c>
      <c r="B480" s="4">
        <v>40564</v>
      </c>
      <c r="C480" s="3">
        <v>1</v>
      </c>
      <c r="D480" s="3">
        <f t="shared" si="44"/>
        <v>2011</v>
      </c>
      <c r="E480" s="3">
        <v>1</v>
      </c>
      <c r="F480" s="3">
        <v>23</v>
      </c>
      <c r="G480" s="3" t="str">
        <f t="shared" si="45"/>
        <v>Evening</v>
      </c>
      <c r="H480" s="3" t="b">
        <v>0</v>
      </c>
      <c r="I480" s="3" t="str">
        <f t="shared" si="43"/>
        <v>Working day</v>
      </c>
      <c r="J480" s="3">
        <v>5</v>
      </c>
      <c r="K480" s="3" t="str">
        <f t="shared" si="46"/>
        <v>Saturday</v>
      </c>
      <c r="L480" s="3">
        <v>1</v>
      </c>
      <c r="M480" s="3" t="str">
        <f t="shared" si="47"/>
        <v>Nice weather</v>
      </c>
      <c r="N480" s="3">
        <v>0.06</v>
      </c>
      <c r="O480">
        <f t="shared" si="48"/>
        <v>6</v>
      </c>
    </row>
    <row r="481" spans="1:15" ht="13.2" x14ac:dyDescent="0.25">
      <c r="A481" s="3">
        <v>480</v>
      </c>
      <c r="B481" s="4">
        <v>40565</v>
      </c>
      <c r="C481" s="3">
        <v>1</v>
      </c>
      <c r="D481" s="3">
        <f t="shared" si="44"/>
        <v>2011</v>
      </c>
      <c r="E481" s="3">
        <v>1</v>
      </c>
      <c r="F481" s="3">
        <v>0</v>
      </c>
      <c r="G481" s="3" t="str">
        <f t="shared" si="45"/>
        <v>Night</v>
      </c>
      <c r="H481" s="3" t="b">
        <v>0</v>
      </c>
      <c r="I481" s="3" t="str">
        <f t="shared" si="43"/>
        <v>Working day</v>
      </c>
      <c r="J481" s="3">
        <v>6</v>
      </c>
      <c r="K481" s="3" t="str">
        <f t="shared" si="46"/>
        <v>Sunday</v>
      </c>
      <c r="L481" s="3">
        <v>1</v>
      </c>
      <c r="M481" s="3" t="str">
        <f t="shared" si="47"/>
        <v>Nice weather</v>
      </c>
      <c r="N481" s="3">
        <v>0.04</v>
      </c>
      <c r="O481">
        <f t="shared" si="48"/>
        <v>4</v>
      </c>
    </row>
    <row r="482" spans="1:15" ht="13.2" x14ac:dyDescent="0.25">
      <c r="A482" s="3">
        <v>481</v>
      </c>
      <c r="B482" s="4">
        <v>40565</v>
      </c>
      <c r="C482" s="3">
        <v>1</v>
      </c>
      <c r="D482" s="3">
        <f t="shared" si="44"/>
        <v>2011</v>
      </c>
      <c r="E482" s="3">
        <v>1</v>
      </c>
      <c r="F482" s="3">
        <v>1</v>
      </c>
      <c r="G482" s="3" t="str">
        <f t="shared" si="45"/>
        <v>Night</v>
      </c>
      <c r="H482" s="3" t="b">
        <v>0</v>
      </c>
      <c r="I482" s="3" t="str">
        <f t="shared" si="43"/>
        <v>Working day</v>
      </c>
      <c r="J482" s="3">
        <v>6</v>
      </c>
      <c r="K482" s="3" t="str">
        <f t="shared" si="46"/>
        <v>Sunday</v>
      </c>
      <c r="L482" s="3">
        <v>2</v>
      </c>
      <c r="M482" s="3" t="str">
        <f t="shared" si="47"/>
        <v>Mild Cloudy</v>
      </c>
      <c r="N482" s="3">
        <v>0.04</v>
      </c>
      <c r="O482">
        <f t="shared" si="48"/>
        <v>4</v>
      </c>
    </row>
    <row r="483" spans="1:15" ht="13.2" x14ac:dyDescent="0.25">
      <c r="A483" s="3">
        <v>482</v>
      </c>
      <c r="B483" s="4">
        <v>40565</v>
      </c>
      <c r="C483" s="3">
        <v>1</v>
      </c>
      <c r="D483" s="3">
        <f t="shared" si="44"/>
        <v>2011</v>
      </c>
      <c r="E483" s="3">
        <v>1</v>
      </c>
      <c r="F483" s="3">
        <v>2</v>
      </c>
      <c r="G483" s="3" t="str">
        <f t="shared" si="45"/>
        <v>Night</v>
      </c>
      <c r="H483" s="3" t="b">
        <v>0</v>
      </c>
      <c r="I483" s="3" t="str">
        <f t="shared" si="43"/>
        <v>Working day</v>
      </c>
      <c r="J483" s="3">
        <v>6</v>
      </c>
      <c r="K483" s="3" t="str">
        <f t="shared" si="46"/>
        <v>Sunday</v>
      </c>
      <c r="L483" s="3">
        <v>2</v>
      </c>
      <c r="M483" s="3" t="str">
        <f t="shared" si="47"/>
        <v>Mild Cloudy</v>
      </c>
      <c r="N483" s="3">
        <v>0.04</v>
      </c>
      <c r="O483">
        <f t="shared" si="48"/>
        <v>4</v>
      </c>
    </row>
    <row r="484" spans="1:15" ht="13.2" x14ac:dyDescent="0.25">
      <c r="A484" s="3">
        <v>483</v>
      </c>
      <c r="B484" s="4">
        <v>40565</v>
      </c>
      <c r="C484" s="3">
        <v>1</v>
      </c>
      <c r="D484" s="3">
        <f t="shared" si="44"/>
        <v>2011</v>
      </c>
      <c r="E484" s="3">
        <v>1</v>
      </c>
      <c r="F484" s="3">
        <v>3</v>
      </c>
      <c r="G484" s="3" t="str">
        <f t="shared" si="45"/>
        <v>Night</v>
      </c>
      <c r="H484" s="3" t="b">
        <v>0</v>
      </c>
      <c r="I484" s="3" t="str">
        <f t="shared" si="43"/>
        <v>Working day</v>
      </c>
      <c r="J484" s="3">
        <v>6</v>
      </c>
      <c r="K484" s="3" t="str">
        <f t="shared" si="46"/>
        <v>Sunday</v>
      </c>
      <c r="L484" s="3">
        <v>2</v>
      </c>
      <c r="M484" s="3" t="str">
        <f t="shared" si="47"/>
        <v>Mild Cloudy</v>
      </c>
      <c r="N484" s="3">
        <v>0.04</v>
      </c>
      <c r="O484">
        <f t="shared" si="48"/>
        <v>4</v>
      </c>
    </row>
    <row r="485" spans="1:15" ht="13.2" x14ac:dyDescent="0.25">
      <c r="A485" s="3">
        <v>484</v>
      </c>
      <c r="B485" s="4">
        <v>40565</v>
      </c>
      <c r="C485" s="3">
        <v>1</v>
      </c>
      <c r="D485" s="3">
        <f t="shared" si="44"/>
        <v>2011</v>
      </c>
      <c r="E485" s="3">
        <v>1</v>
      </c>
      <c r="F485" s="3">
        <v>4</v>
      </c>
      <c r="G485" s="3" t="str">
        <f t="shared" si="45"/>
        <v>Night</v>
      </c>
      <c r="H485" s="3" t="b">
        <v>0</v>
      </c>
      <c r="I485" s="3" t="str">
        <f t="shared" si="43"/>
        <v>Working day</v>
      </c>
      <c r="J485" s="3">
        <v>6</v>
      </c>
      <c r="K485" s="3" t="str">
        <f t="shared" si="46"/>
        <v>Sunday</v>
      </c>
      <c r="L485" s="3">
        <v>2</v>
      </c>
      <c r="M485" s="3" t="str">
        <f t="shared" si="47"/>
        <v>Mild Cloudy</v>
      </c>
      <c r="N485" s="3">
        <v>0.02</v>
      </c>
      <c r="O485">
        <f t="shared" si="48"/>
        <v>2</v>
      </c>
    </row>
    <row r="486" spans="1:15" ht="13.2" x14ac:dyDescent="0.25">
      <c r="A486" s="3">
        <v>485</v>
      </c>
      <c r="B486" s="4">
        <v>40565</v>
      </c>
      <c r="C486" s="3">
        <v>1</v>
      </c>
      <c r="D486" s="3">
        <f t="shared" si="44"/>
        <v>2011</v>
      </c>
      <c r="E486" s="3">
        <v>1</v>
      </c>
      <c r="F486" s="3">
        <v>6</v>
      </c>
      <c r="G486" s="3" t="str">
        <f t="shared" si="45"/>
        <v>Morning</v>
      </c>
      <c r="H486" s="3" t="b">
        <v>0</v>
      </c>
      <c r="I486" s="3" t="str">
        <f t="shared" si="43"/>
        <v>Working day</v>
      </c>
      <c r="J486" s="3">
        <v>6</v>
      </c>
      <c r="K486" s="3" t="str">
        <f t="shared" si="46"/>
        <v>Sunday</v>
      </c>
      <c r="L486" s="3">
        <v>2</v>
      </c>
      <c r="M486" s="3" t="str">
        <f t="shared" si="47"/>
        <v>Mild Cloudy</v>
      </c>
      <c r="N486" s="3">
        <v>0.02</v>
      </c>
      <c r="O486">
        <f t="shared" si="48"/>
        <v>2</v>
      </c>
    </row>
    <row r="487" spans="1:15" ht="13.2" x14ac:dyDescent="0.25">
      <c r="A487" s="3">
        <v>486</v>
      </c>
      <c r="B487" s="4">
        <v>40565</v>
      </c>
      <c r="C487" s="3">
        <v>1</v>
      </c>
      <c r="D487" s="3">
        <f t="shared" si="44"/>
        <v>2011</v>
      </c>
      <c r="E487" s="3">
        <v>1</v>
      </c>
      <c r="F487" s="3">
        <v>7</v>
      </c>
      <c r="G487" s="3" t="str">
        <f t="shared" si="45"/>
        <v>Morning</v>
      </c>
      <c r="H487" s="3" t="b">
        <v>0</v>
      </c>
      <c r="I487" s="3" t="str">
        <f t="shared" si="43"/>
        <v>Working day</v>
      </c>
      <c r="J487" s="3">
        <v>6</v>
      </c>
      <c r="K487" s="3" t="str">
        <f t="shared" si="46"/>
        <v>Sunday</v>
      </c>
      <c r="L487" s="3">
        <v>1</v>
      </c>
      <c r="M487" s="3" t="str">
        <f t="shared" si="47"/>
        <v>Nice weather</v>
      </c>
      <c r="N487" s="3">
        <v>0.02</v>
      </c>
      <c r="O487">
        <f t="shared" si="48"/>
        <v>2</v>
      </c>
    </row>
    <row r="488" spans="1:15" ht="13.2" x14ac:dyDescent="0.25">
      <c r="A488" s="3">
        <v>487</v>
      </c>
      <c r="B488" s="4">
        <v>40565</v>
      </c>
      <c r="C488" s="3">
        <v>1</v>
      </c>
      <c r="D488" s="3">
        <f t="shared" si="44"/>
        <v>2011</v>
      </c>
      <c r="E488" s="3">
        <v>1</v>
      </c>
      <c r="F488" s="3">
        <v>8</v>
      </c>
      <c r="G488" s="3" t="str">
        <f t="shared" si="45"/>
        <v>Morning</v>
      </c>
      <c r="H488" s="3" t="b">
        <v>0</v>
      </c>
      <c r="I488" s="3" t="str">
        <f t="shared" si="43"/>
        <v>Working day</v>
      </c>
      <c r="J488" s="3">
        <v>6</v>
      </c>
      <c r="K488" s="3" t="str">
        <f t="shared" si="46"/>
        <v>Sunday</v>
      </c>
      <c r="L488" s="3">
        <v>1</v>
      </c>
      <c r="M488" s="3" t="str">
        <f t="shared" si="47"/>
        <v>Nice weather</v>
      </c>
      <c r="N488" s="3">
        <v>0.02</v>
      </c>
      <c r="O488">
        <f t="shared" si="48"/>
        <v>2</v>
      </c>
    </row>
    <row r="489" spans="1:15" ht="13.2" x14ac:dyDescent="0.25">
      <c r="A489" s="3">
        <v>488</v>
      </c>
      <c r="B489" s="4">
        <v>40565</v>
      </c>
      <c r="C489" s="3">
        <v>1</v>
      </c>
      <c r="D489" s="3">
        <f t="shared" si="44"/>
        <v>2011</v>
      </c>
      <c r="E489" s="3">
        <v>1</v>
      </c>
      <c r="F489" s="3">
        <v>9</v>
      </c>
      <c r="G489" s="3" t="str">
        <f t="shared" si="45"/>
        <v>Morning</v>
      </c>
      <c r="H489" s="3" t="b">
        <v>0</v>
      </c>
      <c r="I489" s="3" t="str">
        <f t="shared" si="43"/>
        <v>Working day</v>
      </c>
      <c r="J489" s="3">
        <v>6</v>
      </c>
      <c r="K489" s="3" t="str">
        <f t="shared" si="46"/>
        <v>Sunday</v>
      </c>
      <c r="L489" s="3">
        <v>1</v>
      </c>
      <c r="M489" s="3" t="str">
        <f t="shared" si="47"/>
        <v>Nice weather</v>
      </c>
      <c r="N489" s="3">
        <v>0.04</v>
      </c>
      <c r="O489">
        <f t="shared" si="48"/>
        <v>4</v>
      </c>
    </row>
    <row r="490" spans="1:15" ht="13.2" x14ac:dyDescent="0.25">
      <c r="A490" s="3">
        <v>489</v>
      </c>
      <c r="B490" s="4">
        <v>40565</v>
      </c>
      <c r="C490" s="3">
        <v>1</v>
      </c>
      <c r="D490" s="3">
        <f t="shared" si="44"/>
        <v>2011</v>
      </c>
      <c r="E490" s="3">
        <v>1</v>
      </c>
      <c r="F490" s="3">
        <v>10</v>
      </c>
      <c r="G490" s="3" t="str">
        <f t="shared" si="45"/>
        <v>Morning</v>
      </c>
      <c r="H490" s="3" t="b">
        <v>0</v>
      </c>
      <c r="I490" s="3" t="str">
        <f t="shared" si="43"/>
        <v>Working day</v>
      </c>
      <c r="J490" s="3">
        <v>6</v>
      </c>
      <c r="K490" s="3" t="str">
        <f t="shared" si="46"/>
        <v>Sunday</v>
      </c>
      <c r="L490" s="3">
        <v>2</v>
      </c>
      <c r="M490" s="3" t="str">
        <f t="shared" si="47"/>
        <v>Mild Cloudy</v>
      </c>
      <c r="N490" s="3">
        <v>0.04</v>
      </c>
      <c r="O490">
        <f t="shared" si="48"/>
        <v>4</v>
      </c>
    </row>
    <row r="491" spans="1:15" ht="13.2" x14ac:dyDescent="0.25">
      <c r="A491" s="3">
        <v>490</v>
      </c>
      <c r="B491" s="4">
        <v>40565</v>
      </c>
      <c r="C491" s="3">
        <v>1</v>
      </c>
      <c r="D491" s="3">
        <f t="shared" si="44"/>
        <v>2011</v>
      </c>
      <c r="E491" s="3">
        <v>1</v>
      </c>
      <c r="F491" s="3">
        <v>11</v>
      </c>
      <c r="G491" s="3" t="str">
        <f t="shared" si="45"/>
        <v>Morning</v>
      </c>
      <c r="H491" s="3" t="b">
        <v>0</v>
      </c>
      <c r="I491" s="3" t="str">
        <f t="shared" si="43"/>
        <v>Working day</v>
      </c>
      <c r="J491" s="3">
        <v>6</v>
      </c>
      <c r="K491" s="3" t="str">
        <f t="shared" si="46"/>
        <v>Sunday</v>
      </c>
      <c r="L491" s="3">
        <v>2</v>
      </c>
      <c r="M491" s="3" t="str">
        <f t="shared" si="47"/>
        <v>Mild Cloudy</v>
      </c>
      <c r="N491" s="3">
        <v>0.06</v>
      </c>
      <c r="O491">
        <f t="shared" si="48"/>
        <v>6</v>
      </c>
    </row>
    <row r="492" spans="1:15" ht="13.2" x14ac:dyDescent="0.25">
      <c r="A492" s="3">
        <v>491</v>
      </c>
      <c r="B492" s="4">
        <v>40565</v>
      </c>
      <c r="C492" s="3">
        <v>1</v>
      </c>
      <c r="D492" s="3">
        <f t="shared" si="44"/>
        <v>2011</v>
      </c>
      <c r="E492" s="3">
        <v>1</v>
      </c>
      <c r="F492" s="3">
        <v>12</v>
      </c>
      <c r="G492" s="3" t="str">
        <f t="shared" si="45"/>
        <v>Afternoon</v>
      </c>
      <c r="H492" s="3" t="b">
        <v>0</v>
      </c>
      <c r="I492" s="3" t="str">
        <f t="shared" si="43"/>
        <v>Working day</v>
      </c>
      <c r="J492" s="3">
        <v>6</v>
      </c>
      <c r="K492" s="3" t="str">
        <f t="shared" si="46"/>
        <v>Sunday</v>
      </c>
      <c r="L492" s="3">
        <v>2</v>
      </c>
      <c r="M492" s="3" t="str">
        <f t="shared" si="47"/>
        <v>Mild Cloudy</v>
      </c>
      <c r="N492" s="3">
        <v>0.06</v>
      </c>
      <c r="O492">
        <f t="shared" si="48"/>
        <v>6</v>
      </c>
    </row>
    <row r="493" spans="1:15" ht="13.2" x14ac:dyDescent="0.25">
      <c r="A493" s="3">
        <v>492</v>
      </c>
      <c r="B493" s="4">
        <v>40565</v>
      </c>
      <c r="C493" s="3">
        <v>1</v>
      </c>
      <c r="D493" s="3">
        <f t="shared" si="44"/>
        <v>2011</v>
      </c>
      <c r="E493" s="3">
        <v>1</v>
      </c>
      <c r="F493" s="3">
        <v>13</v>
      </c>
      <c r="G493" s="3" t="str">
        <f t="shared" si="45"/>
        <v>Afternoon</v>
      </c>
      <c r="H493" s="3" t="b">
        <v>0</v>
      </c>
      <c r="I493" s="3" t="str">
        <f t="shared" si="43"/>
        <v>Working day</v>
      </c>
      <c r="J493" s="3">
        <v>6</v>
      </c>
      <c r="K493" s="3" t="str">
        <f t="shared" si="46"/>
        <v>Sunday</v>
      </c>
      <c r="L493" s="3">
        <v>1</v>
      </c>
      <c r="M493" s="3" t="str">
        <f t="shared" si="47"/>
        <v>Nice weather</v>
      </c>
      <c r="N493" s="3">
        <v>0.08</v>
      </c>
      <c r="O493">
        <f t="shared" si="48"/>
        <v>8</v>
      </c>
    </row>
    <row r="494" spans="1:15" ht="13.2" x14ac:dyDescent="0.25">
      <c r="A494" s="3">
        <v>493</v>
      </c>
      <c r="B494" s="4">
        <v>40565</v>
      </c>
      <c r="C494" s="3">
        <v>1</v>
      </c>
      <c r="D494" s="3">
        <f t="shared" si="44"/>
        <v>2011</v>
      </c>
      <c r="E494" s="3">
        <v>1</v>
      </c>
      <c r="F494" s="3">
        <v>14</v>
      </c>
      <c r="G494" s="3" t="str">
        <f t="shared" si="45"/>
        <v>Afternoon</v>
      </c>
      <c r="H494" s="3" t="b">
        <v>0</v>
      </c>
      <c r="I494" s="3" t="str">
        <f t="shared" si="43"/>
        <v>Working day</v>
      </c>
      <c r="J494" s="3">
        <v>6</v>
      </c>
      <c r="K494" s="3" t="str">
        <f t="shared" si="46"/>
        <v>Sunday</v>
      </c>
      <c r="L494" s="3">
        <v>1</v>
      </c>
      <c r="M494" s="3" t="str">
        <f t="shared" si="47"/>
        <v>Nice weather</v>
      </c>
      <c r="N494" s="3">
        <v>0.1</v>
      </c>
      <c r="O494">
        <f t="shared" si="48"/>
        <v>10</v>
      </c>
    </row>
    <row r="495" spans="1:15" ht="13.2" x14ac:dyDescent="0.25">
      <c r="A495" s="3">
        <v>494</v>
      </c>
      <c r="B495" s="4">
        <v>40565</v>
      </c>
      <c r="C495" s="3">
        <v>1</v>
      </c>
      <c r="D495" s="3">
        <f t="shared" si="44"/>
        <v>2011</v>
      </c>
      <c r="E495" s="3">
        <v>1</v>
      </c>
      <c r="F495" s="3">
        <v>15</v>
      </c>
      <c r="G495" s="3" t="str">
        <f t="shared" si="45"/>
        <v>Afternoon</v>
      </c>
      <c r="H495" s="3" t="b">
        <v>0</v>
      </c>
      <c r="I495" s="3" t="str">
        <f t="shared" si="43"/>
        <v>Working day</v>
      </c>
      <c r="J495" s="3">
        <v>6</v>
      </c>
      <c r="K495" s="3" t="str">
        <f t="shared" si="46"/>
        <v>Sunday</v>
      </c>
      <c r="L495" s="3">
        <v>1</v>
      </c>
      <c r="M495" s="3" t="str">
        <f t="shared" si="47"/>
        <v>Nice weather</v>
      </c>
      <c r="N495" s="3">
        <v>0.12</v>
      </c>
      <c r="O495">
        <f t="shared" si="48"/>
        <v>12</v>
      </c>
    </row>
    <row r="496" spans="1:15" ht="13.2" x14ac:dyDescent="0.25">
      <c r="A496" s="3">
        <v>495</v>
      </c>
      <c r="B496" s="4">
        <v>40565</v>
      </c>
      <c r="C496" s="3">
        <v>1</v>
      </c>
      <c r="D496" s="3">
        <f t="shared" si="44"/>
        <v>2011</v>
      </c>
      <c r="E496" s="3">
        <v>1</v>
      </c>
      <c r="F496" s="3">
        <v>16</v>
      </c>
      <c r="G496" s="3" t="str">
        <f t="shared" si="45"/>
        <v>Afternoon</v>
      </c>
      <c r="H496" s="3" t="b">
        <v>0</v>
      </c>
      <c r="I496" s="3" t="str">
        <f t="shared" si="43"/>
        <v>Working day</v>
      </c>
      <c r="J496" s="3">
        <v>6</v>
      </c>
      <c r="K496" s="3" t="str">
        <f t="shared" si="46"/>
        <v>Sunday</v>
      </c>
      <c r="L496" s="3">
        <v>1</v>
      </c>
      <c r="M496" s="3" t="str">
        <f t="shared" si="47"/>
        <v>Nice weather</v>
      </c>
      <c r="N496" s="3">
        <v>0.12</v>
      </c>
      <c r="O496">
        <f t="shared" si="48"/>
        <v>12</v>
      </c>
    </row>
    <row r="497" spans="1:15" ht="13.2" x14ac:dyDescent="0.25">
      <c r="A497" s="3">
        <v>496</v>
      </c>
      <c r="B497" s="4">
        <v>40565</v>
      </c>
      <c r="C497" s="3">
        <v>1</v>
      </c>
      <c r="D497" s="3">
        <f t="shared" si="44"/>
        <v>2011</v>
      </c>
      <c r="E497" s="3">
        <v>1</v>
      </c>
      <c r="F497" s="3">
        <v>17</v>
      </c>
      <c r="G497" s="3" t="str">
        <f t="shared" si="45"/>
        <v>Afternoon</v>
      </c>
      <c r="H497" s="3" t="b">
        <v>0</v>
      </c>
      <c r="I497" s="3" t="str">
        <f t="shared" si="43"/>
        <v>Working day</v>
      </c>
      <c r="J497" s="3">
        <v>6</v>
      </c>
      <c r="K497" s="3" t="str">
        <f t="shared" si="46"/>
        <v>Sunday</v>
      </c>
      <c r="L497" s="3">
        <v>1</v>
      </c>
      <c r="M497" s="3" t="str">
        <f t="shared" si="47"/>
        <v>Nice weather</v>
      </c>
      <c r="N497" s="3">
        <v>0.12</v>
      </c>
      <c r="O497">
        <f t="shared" si="48"/>
        <v>12</v>
      </c>
    </row>
    <row r="498" spans="1:15" ht="13.2" x14ac:dyDescent="0.25">
      <c r="A498" s="3">
        <v>497</v>
      </c>
      <c r="B498" s="4">
        <v>40565</v>
      </c>
      <c r="C498" s="3">
        <v>1</v>
      </c>
      <c r="D498" s="3">
        <f t="shared" si="44"/>
        <v>2011</v>
      </c>
      <c r="E498" s="3">
        <v>1</v>
      </c>
      <c r="F498" s="3">
        <v>18</v>
      </c>
      <c r="G498" s="3" t="str">
        <f t="shared" si="45"/>
        <v>Evening</v>
      </c>
      <c r="H498" s="3" t="b">
        <v>0</v>
      </c>
      <c r="I498" s="3" t="str">
        <f t="shared" si="43"/>
        <v>Working day</v>
      </c>
      <c r="J498" s="3">
        <v>6</v>
      </c>
      <c r="K498" s="3" t="str">
        <f t="shared" si="46"/>
        <v>Sunday</v>
      </c>
      <c r="L498" s="3">
        <v>1</v>
      </c>
      <c r="M498" s="3" t="str">
        <f t="shared" si="47"/>
        <v>Nice weather</v>
      </c>
      <c r="N498" s="3">
        <v>0.08</v>
      </c>
      <c r="O498">
        <f t="shared" si="48"/>
        <v>8</v>
      </c>
    </row>
    <row r="499" spans="1:15" ht="13.2" x14ac:dyDescent="0.25">
      <c r="A499" s="3">
        <v>498</v>
      </c>
      <c r="B499" s="4">
        <v>40565</v>
      </c>
      <c r="C499" s="3">
        <v>1</v>
      </c>
      <c r="D499" s="3">
        <f t="shared" si="44"/>
        <v>2011</v>
      </c>
      <c r="E499" s="3">
        <v>1</v>
      </c>
      <c r="F499" s="3">
        <v>19</v>
      </c>
      <c r="G499" s="3" t="str">
        <f t="shared" si="45"/>
        <v>Evening</v>
      </c>
      <c r="H499" s="3" t="b">
        <v>0</v>
      </c>
      <c r="I499" s="3" t="str">
        <f t="shared" si="43"/>
        <v>Working day</v>
      </c>
      <c r="J499" s="3">
        <v>6</v>
      </c>
      <c r="K499" s="3" t="str">
        <f t="shared" si="46"/>
        <v>Sunday</v>
      </c>
      <c r="L499" s="3">
        <v>1</v>
      </c>
      <c r="M499" s="3" t="str">
        <f t="shared" si="47"/>
        <v>Nice weather</v>
      </c>
      <c r="N499" s="3">
        <v>0.08</v>
      </c>
      <c r="O499">
        <f t="shared" si="48"/>
        <v>8</v>
      </c>
    </row>
    <row r="500" spans="1:15" ht="13.2" x14ac:dyDescent="0.25">
      <c r="A500" s="3">
        <v>499</v>
      </c>
      <c r="B500" s="4">
        <v>40565</v>
      </c>
      <c r="C500" s="3">
        <v>1</v>
      </c>
      <c r="D500" s="3">
        <f t="shared" si="44"/>
        <v>2011</v>
      </c>
      <c r="E500" s="3">
        <v>1</v>
      </c>
      <c r="F500" s="3">
        <v>20</v>
      </c>
      <c r="G500" s="3" t="str">
        <f t="shared" si="45"/>
        <v>Evening</v>
      </c>
      <c r="H500" s="3" t="b">
        <v>0</v>
      </c>
      <c r="I500" s="3" t="str">
        <f t="shared" si="43"/>
        <v>Working day</v>
      </c>
      <c r="J500" s="3">
        <v>6</v>
      </c>
      <c r="K500" s="3" t="str">
        <f t="shared" si="46"/>
        <v>Sunday</v>
      </c>
      <c r="L500" s="3">
        <v>1</v>
      </c>
      <c r="M500" s="3" t="str">
        <f t="shared" si="47"/>
        <v>Nice weather</v>
      </c>
      <c r="N500" s="3">
        <v>0.06</v>
      </c>
      <c r="O500">
        <f t="shared" si="48"/>
        <v>6</v>
      </c>
    </row>
    <row r="501" spans="1:15" ht="13.2" x14ac:dyDescent="0.25">
      <c r="A501" s="3">
        <v>500</v>
      </c>
      <c r="B501" s="4">
        <v>40565</v>
      </c>
      <c r="C501" s="3">
        <v>1</v>
      </c>
      <c r="D501" s="3">
        <f t="shared" si="44"/>
        <v>2011</v>
      </c>
      <c r="E501" s="3">
        <v>1</v>
      </c>
      <c r="F501" s="3">
        <v>21</v>
      </c>
      <c r="G501" s="3" t="str">
        <f t="shared" si="45"/>
        <v>Evening</v>
      </c>
      <c r="H501" s="3" t="b">
        <v>0</v>
      </c>
      <c r="I501" s="3" t="str">
        <f t="shared" si="43"/>
        <v>Working day</v>
      </c>
      <c r="J501" s="3">
        <v>6</v>
      </c>
      <c r="K501" s="3" t="str">
        <f t="shared" si="46"/>
        <v>Sunday</v>
      </c>
      <c r="L501" s="3">
        <v>1</v>
      </c>
      <c r="M501" s="3" t="str">
        <f t="shared" si="47"/>
        <v>Nice weather</v>
      </c>
      <c r="N501" s="3">
        <v>0.06</v>
      </c>
      <c r="O501">
        <f t="shared" si="48"/>
        <v>6</v>
      </c>
    </row>
    <row r="502" spans="1:15" ht="13.2" x14ac:dyDescent="0.25">
      <c r="A502" s="3">
        <v>501</v>
      </c>
      <c r="B502" s="4">
        <v>40565</v>
      </c>
      <c r="C502" s="3">
        <v>1</v>
      </c>
      <c r="D502" s="3">
        <f t="shared" si="44"/>
        <v>2011</v>
      </c>
      <c r="E502" s="3">
        <v>1</v>
      </c>
      <c r="F502" s="3">
        <v>22</v>
      </c>
      <c r="G502" s="3" t="str">
        <f t="shared" si="45"/>
        <v>Evening</v>
      </c>
      <c r="H502" s="3" t="b">
        <v>0</v>
      </c>
      <c r="I502" s="3" t="str">
        <f t="shared" si="43"/>
        <v>Working day</v>
      </c>
      <c r="J502" s="3">
        <v>6</v>
      </c>
      <c r="K502" s="3" t="str">
        <f t="shared" si="46"/>
        <v>Sunday</v>
      </c>
      <c r="L502" s="3">
        <v>1</v>
      </c>
      <c r="M502" s="3" t="str">
        <f t="shared" si="47"/>
        <v>Nice weather</v>
      </c>
      <c r="N502" s="3">
        <v>0.06</v>
      </c>
      <c r="O502">
        <f t="shared" si="48"/>
        <v>6</v>
      </c>
    </row>
    <row r="503" spans="1:15" ht="13.2" x14ac:dyDescent="0.25">
      <c r="A503" s="3">
        <v>502</v>
      </c>
      <c r="B503" s="4">
        <v>40565</v>
      </c>
      <c r="C503" s="3">
        <v>1</v>
      </c>
      <c r="D503" s="3">
        <f t="shared" si="44"/>
        <v>2011</v>
      </c>
      <c r="E503" s="3">
        <v>1</v>
      </c>
      <c r="F503" s="3">
        <v>23</v>
      </c>
      <c r="G503" s="3" t="str">
        <f t="shared" si="45"/>
        <v>Evening</v>
      </c>
      <c r="H503" s="3" t="b">
        <v>0</v>
      </c>
      <c r="I503" s="3" t="str">
        <f t="shared" si="43"/>
        <v>Working day</v>
      </c>
      <c r="J503" s="3">
        <v>6</v>
      </c>
      <c r="K503" s="3" t="str">
        <f t="shared" si="46"/>
        <v>Sunday</v>
      </c>
      <c r="L503" s="3">
        <v>1</v>
      </c>
      <c r="M503" s="3" t="str">
        <f t="shared" si="47"/>
        <v>Nice weather</v>
      </c>
      <c r="N503" s="3">
        <v>0.04</v>
      </c>
      <c r="O503">
        <f t="shared" si="48"/>
        <v>4</v>
      </c>
    </row>
    <row r="504" spans="1:15" ht="13.2" x14ac:dyDescent="0.25">
      <c r="A504" s="3">
        <v>503</v>
      </c>
      <c r="B504" s="4">
        <v>40566</v>
      </c>
      <c r="C504" s="3">
        <v>1</v>
      </c>
      <c r="D504" s="3">
        <f t="shared" si="44"/>
        <v>2011</v>
      </c>
      <c r="E504" s="3">
        <v>1</v>
      </c>
      <c r="F504" s="3">
        <v>0</v>
      </c>
      <c r="G504" s="3" t="str">
        <f t="shared" si="45"/>
        <v>Night</v>
      </c>
      <c r="H504" s="3" t="b">
        <v>0</v>
      </c>
      <c r="I504" s="3" t="str">
        <f t="shared" si="43"/>
        <v>Working day</v>
      </c>
      <c r="J504" s="3">
        <v>0</v>
      </c>
      <c r="K504" s="3" t="str">
        <f t="shared" si="46"/>
        <v>Monday</v>
      </c>
      <c r="L504" s="3">
        <v>1</v>
      </c>
      <c r="M504" s="3" t="str">
        <f t="shared" si="47"/>
        <v>Nice weather</v>
      </c>
      <c r="N504" s="3">
        <v>0.04</v>
      </c>
      <c r="O504">
        <f t="shared" si="48"/>
        <v>4</v>
      </c>
    </row>
    <row r="505" spans="1:15" ht="13.2" x14ac:dyDescent="0.25">
      <c r="A505" s="3">
        <v>504</v>
      </c>
      <c r="B505" s="4">
        <v>40566</v>
      </c>
      <c r="C505" s="3">
        <v>1</v>
      </c>
      <c r="D505" s="3">
        <f t="shared" si="44"/>
        <v>2011</v>
      </c>
      <c r="E505" s="3">
        <v>1</v>
      </c>
      <c r="F505" s="3">
        <v>1</v>
      </c>
      <c r="G505" s="3" t="str">
        <f t="shared" si="45"/>
        <v>Night</v>
      </c>
      <c r="H505" s="3" t="b">
        <v>0</v>
      </c>
      <c r="I505" s="3" t="str">
        <f t="shared" si="43"/>
        <v>Working day</v>
      </c>
      <c r="J505" s="3">
        <v>0</v>
      </c>
      <c r="K505" s="3" t="str">
        <f t="shared" si="46"/>
        <v>Monday</v>
      </c>
      <c r="L505" s="3">
        <v>1</v>
      </c>
      <c r="M505" s="3" t="str">
        <f t="shared" si="47"/>
        <v>Nice weather</v>
      </c>
      <c r="N505" s="3">
        <v>0.04</v>
      </c>
      <c r="O505">
        <f t="shared" si="48"/>
        <v>4</v>
      </c>
    </row>
    <row r="506" spans="1:15" ht="13.2" x14ac:dyDescent="0.25">
      <c r="A506" s="3">
        <v>505</v>
      </c>
      <c r="B506" s="4">
        <v>40566</v>
      </c>
      <c r="C506" s="3">
        <v>1</v>
      </c>
      <c r="D506" s="3">
        <f t="shared" si="44"/>
        <v>2011</v>
      </c>
      <c r="E506" s="3">
        <v>1</v>
      </c>
      <c r="F506" s="3">
        <v>2</v>
      </c>
      <c r="G506" s="3" t="str">
        <f t="shared" si="45"/>
        <v>Night</v>
      </c>
      <c r="H506" s="3" t="b">
        <v>0</v>
      </c>
      <c r="I506" s="3" t="str">
        <f t="shared" si="43"/>
        <v>Working day</v>
      </c>
      <c r="J506" s="3">
        <v>0</v>
      </c>
      <c r="K506" s="3" t="str">
        <f t="shared" si="46"/>
        <v>Monday</v>
      </c>
      <c r="L506" s="3">
        <v>1</v>
      </c>
      <c r="M506" s="3" t="str">
        <f t="shared" si="47"/>
        <v>Nice weather</v>
      </c>
      <c r="N506" s="3">
        <v>0.02</v>
      </c>
      <c r="O506">
        <f t="shared" si="48"/>
        <v>2</v>
      </c>
    </row>
    <row r="507" spans="1:15" ht="13.2" x14ac:dyDescent="0.25">
      <c r="A507" s="3">
        <v>506</v>
      </c>
      <c r="B507" s="4">
        <v>40566</v>
      </c>
      <c r="C507" s="3">
        <v>1</v>
      </c>
      <c r="D507" s="3">
        <f t="shared" si="44"/>
        <v>2011</v>
      </c>
      <c r="E507" s="3">
        <v>1</v>
      </c>
      <c r="F507" s="3">
        <v>3</v>
      </c>
      <c r="G507" s="3" t="str">
        <f t="shared" si="45"/>
        <v>Night</v>
      </c>
      <c r="H507" s="3" t="b">
        <v>0</v>
      </c>
      <c r="I507" s="3" t="str">
        <f t="shared" si="43"/>
        <v>Working day</v>
      </c>
      <c r="J507" s="3">
        <v>0</v>
      </c>
      <c r="K507" s="3" t="str">
        <f t="shared" si="46"/>
        <v>Monday</v>
      </c>
      <c r="L507" s="3">
        <v>1</v>
      </c>
      <c r="M507" s="3" t="str">
        <f t="shared" si="47"/>
        <v>Nice weather</v>
      </c>
      <c r="N507" s="3">
        <v>0.02</v>
      </c>
      <c r="O507">
        <f t="shared" si="48"/>
        <v>2</v>
      </c>
    </row>
    <row r="508" spans="1:15" ht="13.2" x14ac:dyDescent="0.25">
      <c r="A508" s="3">
        <v>507</v>
      </c>
      <c r="B508" s="4">
        <v>40566</v>
      </c>
      <c r="C508" s="3">
        <v>1</v>
      </c>
      <c r="D508" s="3">
        <f t="shared" si="44"/>
        <v>2011</v>
      </c>
      <c r="E508" s="3">
        <v>1</v>
      </c>
      <c r="F508" s="3">
        <v>5</v>
      </c>
      <c r="G508" s="3" t="str">
        <f t="shared" si="45"/>
        <v>Night</v>
      </c>
      <c r="H508" s="3" t="b">
        <v>0</v>
      </c>
      <c r="I508" s="3" t="str">
        <f t="shared" si="43"/>
        <v>Working day</v>
      </c>
      <c r="J508" s="3">
        <v>0</v>
      </c>
      <c r="K508" s="3" t="str">
        <f t="shared" si="46"/>
        <v>Monday</v>
      </c>
      <c r="L508" s="3">
        <v>2</v>
      </c>
      <c r="M508" s="3" t="str">
        <f t="shared" si="47"/>
        <v>Mild Cloudy</v>
      </c>
      <c r="N508" s="3">
        <v>0.04</v>
      </c>
      <c r="O508">
        <f t="shared" si="48"/>
        <v>4</v>
      </c>
    </row>
    <row r="509" spans="1:15" ht="13.2" x14ac:dyDescent="0.25">
      <c r="A509" s="3">
        <v>508</v>
      </c>
      <c r="B509" s="4">
        <v>40566</v>
      </c>
      <c r="C509" s="3">
        <v>1</v>
      </c>
      <c r="D509" s="3">
        <f t="shared" si="44"/>
        <v>2011</v>
      </c>
      <c r="E509" s="3">
        <v>1</v>
      </c>
      <c r="F509" s="3">
        <v>6</v>
      </c>
      <c r="G509" s="3" t="str">
        <f t="shared" si="45"/>
        <v>Morning</v>
      </c>
      <c r="H509" s="3" t="b">
        <v>0</v>
      </c>
      <c r="I509" s="3" t="str">
        <f t="shared" si="43"/>
        <v>Working day</v>
      </c>
      <c r="J509" s="3">
        <v>0</v>
      </c>
      <c r="K509" s="3" t="str">
        <f t="shared" si="46"/>
        <v>Monday</v>
      </c>
      <c r="L509" s="3">
        <v>2</v>
      </c>
      <c r="M509" s="3" t="str">
        <f t="shared" si="47"/>
        <v>Mild Cloudy</v>
      </c>
      <c r="N509" s="3">
        <v>0.04</v>
      </c>
      <c r="O509">
        <f t="shared" si="48"/>
        <v>4</v>
      </c>
    </row>
    <row r="510" spans="1:15" ht="13.2" x14ac:dyDescent="0.25">
      <c r="A510" s="3">
        <v>509</v>
      </c>
      <c r="B510" s="4">
        <v>40566</v>
      </c>
      <c r="C510" s="3">
        <v>1</v>
      </c>
      <c r="D510" s="3">
        <f t="shared" si="44"/>
        <v>2011</v>
      </c>
      <c r="E510" s="3">
        <v>1</v>
      </c>
      <c r="F510" s="3">
        <v>7</v>
      </c>
      <c r="G510" s="3" t="str">
        <f t="shared" si="45"/>
        <v>Morning</v>
      </c>
      <c r="H510" s="3" t="b">
        <v>0</v>
      </c>
      <c r="I510" s="3" t="str">
        <f t="shared" si="43"/>
        <v>Working day</v>
      </c>
      <c r="J510" s="3">
        <v>0</v>
      </c>
      <c r="K510" s="3" t="str">
        <f t="shared" si="46"/>
        <v>Monday</v>
      </c>
      <c r="L510" s="3">
        <v>1</v>
      </c>
      <c r="M510" s="3" t="str">
        <f t="shared" si="47"/>
        <v>Nice weather</v>
      </c>
      <c r="N510" s="3">
        <v>0.08</v>
      </c>
      <c r="O510">
        <f t="shared" si="48"/>
        <v>8</v>
      </c>
    </row>
    <row r="511" spans="1:15" ht="13.2" x14ac:dyDescent="0.25">
      <c r="A511" s="3">
        <v>510</v>
      </c>
      <c r="B511" s="4">
        <v>40566</v>
      </c>
      <c r="C511" s="3">
        <v>1</v>
      </c>
      <c r="D511" s="3">
        <f t="shared" si="44"/>
        <v>2011</v>
      </c>
      <c r="E511" s="3">
        <v>1</v>
      </c>
      <c r="F511" s="3">
        <v>8</v>
      </c>
      <c r="G511" s="3" t="str">
        <f t="shared" si="45"/>
        <v>Morning</v>
      </c>
      <c r="H511" s="3" t="b">
        <v>0</v>
      </c>
      <c r="I511" s="3" t="str">
        <f t="shared" si="43"/>
        <v>Working day</v>
      </c>
      <c r="J511" s="3">
        <v>0</v>
      </c>
      <c r="K511" s="3" t="str">
        <f t="shared" si="46"/>
        <v>Monday</v>
      </c>
      <c r="L511" s="3">
        <v>1</v>
      </c>
      <c r="M511" s="3" t="str">
        <f t="shared" si="47"/>
        <v>Nice weather</v>
      </c>
      <c r="N511" s="3">
        <v>0.06</v>
      </c>
      <c r="O511">
        <f t="shared" si="48"/>
        <v>6</v>
      </c>
    </row>
    <row r="512" spans="1:15" ht="13.2" x14ac:dyDescent="0.25">
      <c r="A512" s="3">
        <v>511</v>
      </c>
      <c r="B512" s="4">
        <v>40566</v>
      </c>
      <c r="C512" s="3">
        <v>1</v>
      </c>
      <c r="D512" s="3">
        <f t="shared" si="44"/>
        <v>2011</v>
      </c>
      <c r="E512" s="3">
        <v>1</v>
      </c>
      <c r="F512" s="3">
        <v>9</v>
      </c>
      <c r="G512" s="3" t="str">
        <f t="shared" si="45"/>
        <v>Morning</v>
      </c>
      <c r="H512" s="3" t="b">
        <v>0</v>
      </c>
      <c r="I512" s="3" t="str">
        <f t="shared" si="43"/>
        <v>Working day</v>
      </c>
      <c r="J512" s="3">
        <v>0</v>
      </c>
      <c r="K512" s="3" t="str">
        <f t="shared" si="46"/>
        <v>Monday</v>
      </c>
      <c r="L512" s="3">
        <v>1</v>
      </c>
      <c r="M512" s="3" t="str">
        <f t="shared" si="47"/>
        <v>Nice weather</v>
      </c>
      <c r="N512" s="3">
        <v>0.1</v>
      </c>
      <c r="O512">
        <f t="shared" si="48"/>
        <v>10</v>
      </c>
    </row>
    <row r="513" spans="1:15" ht="13.2" x14ac:dyDescent="0.25">
      <c r="A513" s="3">
        <v>512</v>
      </c>
      <c r="B513" s="4">
        <v>40566</v>
      </c>
      <c r="C513" s="3">
        <v>1</v>
      </c>
      <c r="D513" s="3">
        <f t="shared" si="44"/>
        <v>2011</v>
      </c>
      <c r="E513" s="3">
        <v>1</v>
      </c>
      <c r="F513" s="3">
        <v>10</v>
      </c>
      <c r="G513" s="3" t="str">
        <f t="shared" si="45"/>
        <v>Morning</v>
      </c>
      <c r="H513" s="3" t="b">
        <v>0</v>
      </c>
      <c r="I513" s="3" t="str">
        <f t="shared" si="43"/>
        <v>Working day</v>
      </c>
      <c r="J513" s="3">
        <v>0</v>
      </c>
      <c r="K513" s="3" t="str">
        <f t="shared" si="46"/>
        <v>Monday</v>
      </c>
      <c r="L513" s="3">
        <v>1</v>
      </c>
      <c r="M513" s="3" t="str">
        <f t="shared" si="47"/>
        <v>Nice weather</v>
      </c>
      <c r="N513" s="3">
        <v>0.14000000000000001</v>
      </c>
      <c r="O513">
        <f t="shared" si="48"/>
        <v>14.000000000000002</v>
      </c>
    </row>
    <row r="514" spans="1:15" ht="13.2" x14ac:dyDescent="0.25">
      <c r="A514" s="3">
        <v>513</v>
      </c>
      <c r="B514" s="4">
        <v>40566</v>
      </c>
      <c r="C514" s="3">
        <v>1</v>
      </c>
      <c r="D514" s="3">
        <f t="shared" si="44"/>
        <v>2011</v>
      </c>
      <c r="E514" s="3">
        <v>1</v>
      </c>
      <c r="F514" s="3">
        <v>11</v>
      </c>
      <c r="G514" s="3" t="str">
        <f t="shared" si="45"/>
        <v>Morning</v>
      </c>
      <c r="H514" s="3" t="b">
        <v>0</v>
      </c>
      <c r="I514" s="3" t="str">
        <f t="shared" ref="I514:I577" si="49">IF(H514=TRUE,"Holiday","Working day")</f>
        <v>Working day</v>
      </c>
      <c r="J514" s="3">
        <v>0</v>
      </c>
      <c r="K514" s="3" t="str">
        <f t="shared" si="46"/>
        <v>Monday</v>
      </c>
      <c r="L514" s="3">
        <v>1</v>
      </c>
      <c r="M514" s="3" t="str">
        <f t="shared" si="47"/>
        <v>Nice weather</v>
      </c>
      <c r="N514" s="3">
        <v>0.14000000000000001</v>
      </c>
      <c r="O514">
        <f t="shared" si="48"/>
        <v>14.000000000000002</v>
      </c>
    </row>
    <row r="515" spans="1:15" ht="13.2" x14ac:dyDescent="0.25">
      <c r="A515" s="3">
        <v>514</v>
      </c>
      <c r="B515" s="4">
        <v>40566</v>
      </c>
      <c r="C515" s="3">
        <v>1</v>
      </c>
      <c r="D515" s="3">
        <f t="shared" ref="D515:D578" si="50">YEAR(B515)</f>
        <v>2011</v>
      </c>
      <c r="E515" s="3">
        <v>1</v>
      </c>
      <c r="F515" s="3">
        <v>12</v>
      </c>
      <c r="G515" s="3" t="str">
        <f t="shared" ref="G515:G578" si="51">IF(AND(F515&gt;=0,F515&lt;6),"Night",IF(AND(F515&gt;=6,F515&lt;12),"Morning",IF(AND(F515&lt;18),"Afternoon","Evening")))</f>
        <v>Afternoon</v>
      </c>
      <c r="H515" s="3" t="b">
        <v>0</v>
      </c>
      <c r="I515" s="3" t="str">
        <f t="shared" si="49"/>
        <v>Working day</v>
      </c>
      <c r="J515" s="3">
        <v>0</v>
      </c>
      <c r="K515" s="3" t="str">
        <f t="shared" ref="K515:K578" si="52">CHOOSE(J515+1,"Monday","Tuesday","Wednesday","Thursday","Friday","Saturday","Sunday")</f>
        <v>Monday</v>
      </c>
      <c r="L515" s="3">
        <v>1</v>
      </c>
      <c r="M515" s="3" t="str">
        <f t="shared" ref="M515:M578" si="53">IF(L515=1,"Nice weather", IF(L515=2,"Mild Cloudy", IF(L515=3,"Dark Cloudy", IF(L515=4,"Thunderstrome","unknown"))))</f>
        <v>Nice weather</v>
      </c>
      <c r="N515" s="3">
        <v>0.16</v>
      </c>
      <c r="O515">
        <f t="shared" ref="O515:O578" si="54">N515*100</f>
        <v>16</v>
      </c>
    </row>
    <row r="516" spans="1:15" ht="13.2" x14ac:dyDescent="0.25">
      <c r="A516" s="3">
        <v>515</v>
      </c>
      <c r="B516" s="4">
        <v>40566</v>
      </c>
      <c r="C516" s="3">
        <v>1</v>
      </c>
      <c r="D516" s="3">
        <f t="shared" si="50"/>
        <v>2011</v>
      </c>
      <c r="E516" s="3">
        <v>1</v>
      </c>
      <c r="F516" s="3">
        <v>13</v>
      </c>
      <c r="G516" s="3" t="str">
        <f t="shared" si="51"/>
        <v>Afternoon</v>
      </c>
      <c r="H516" s="3" t="b">
        <v>0</v>
      </c>
      <c r="I516" s="3" t="str">
        <f t="shared" si="49"/>
        <v>Working day</v>
      </c>
      <c r="J516" s="3">
        <v>0</v>
      </c>
      <c r="K516" s="3" t="str">
        <f t="shared" si="52"/>
        <v>Monday</v>
      </c>
      <c r="L516" s="3">
        <v>1</v>
      </c>
      <c r="M516" s="3" t="str">
        <f t="shared" si="53"/>
        <v>Nice weather</v>
      </c>
      <c r="N516" s="3">
        <v>0.14000000000000001</v>
      </c>
      <c r="O516">
        <f t="shared" si="54"/>
        <v>14.000000000000002</v>
      </c>
    </row>
    <row r="517" spans="1:15" ht="13.2" x14ac:dyDescent="0.25">
      <c r="A517" s="3">
        <v>516</v>
      </c>
      <c r="B517" s="4">
        <v>40566</v>
      </c>
      <c r="C517" s="3">
        <v>1</v>
      </c>
      <c r="D517" s="3">
        <f t="shared" si="50"/>
        <v>2011</v>
      </c>
      <c r="E517" s="3">
        <v>1</v>
      </c>
      <c r="F517" s="3">
        <v>14</v>
      </c>
      <c r="G517" s="3" t="str">
        <f t="shared" si="51"/>
        <v>Afternoon</v>
      </c>
      <c r="H517" s="3" t="b">
        <v>0</v>
      </c>
      <c r="I517" s="3" t="str">
        <f t="shared" si="49"/>
        <v>Working day</v>
      </c>
      <c r="J517" s="3">
        <v>0</v>
      </c>
      <c r="K517" s="3" t="str">
        <f t="shared" si="52"/>
        <v>Monday</v>
      </c>
      <c r="L517" s="3">
        <v>1</v>
      </c>
      <c r="M517" s="3" t="str">
        <f t="shared" si="53"/>
        <v>Nice weather</v>
      </c>
      <c r="N517" s="3">
        <v>0.16</v>
      </c>
      <c r="O517">
        <f t="shared" si="54"/>
        <v>16</v>
      </c>
    </row>
    <row r="518" spans="1:15" ht="13.2" x14ac:dyDescent="0.25">
      <c r="A518" s="3">
        <v>517</v>
      </c>
      <c r="B518" s="4">
        <v>40566</v>
      </c>
      <c r="C518" s="3">
        <v>1</v>
      </c>
      <c r="D518" s="3">
        <f t="shared" si="50"/>
        <v>2011</v>
      </c>
      <c r="E518" s="3">
        <v>1</v>
      </c>
      <c r="F518" s="3">
        <v>15</v>
      </c>
      <c r="G518" s="3" t="str">
        <f t="shared" si="51"/>
        <v>Afternoon</v>
      </c>
      <c r="H518" s="3" t="b">
        <v>0</v>
      </c>
      <c r="I518" s="3" t="str">
        <f t="shared" si="49"/>
        <v>Working day</v>
      </c>
      <c r="J518" s="3">
        <v>0</v>
      </c>
      <c r="K518" s="3" t="str">
        <f t="shared" si="52"/>
        <v>Monday</v>
      </c>
      <c r="L518" s="3">
        <v>1</v>
      </c>
      <c r="M518" s="3" t="str">
        <f t="shared" si="53"/>
        <v>Nice weather</v>
      </c>
      <c r="N518" s="3">
        <v>0.16</v>
      </c>
      <c r="O518">
        <f t="shared" si="54"/>
        <v>16</v>
      </c>
    </row>
    <row r="519" spans="1:15" ht="13.2" x14ac:dyDescent="0.25">
      <c r="A519" s="3">
        <v>518</v>
      </c>
      <c r="B519" s="4">
        <v>40566</v>
      </c>
      <c r="C519" s="3">
        <v>1</v>
      </c>
      <c r="D519" s="3">
        <f t="shared" si="50"/>
        <v>2011</v>
      </c>
      <c r="E519" s="3">
        <v>1</v>
      </c>
      <c r="F519" s="3">
        <v>16</v>
      </c>
      <c r="G519" s="3" t="str">
        <f t="shared" si="51"/>
        <v>Afternoon</v>
      </c>
      <c r="H519" s="3" t="b">
        <v>0</v>
      </c>
      <c r="I519" s="3" t="str">
        <f t="shared" si="49"/>
        <v>Working day</v>
      </c>
      <c r="J519" s="3">
        <v>0</v>
      </c>
      <c r="K519" s="3" t="str">
        <f t="shared" si="52"/>
        <v>Monday</v>
      </c>
      <c r="L519" s="3">
        <v>1</v>
      </c>
      <c r="M519" s="3" t="str">
        <f t="shared" si="53"/>
        <v>Nice weather</v>
      </c>
      <c r="N519" s="3">
        <v>0.16</v>
      </c>
      <c r="O519">
        <f t="shared" si="54"/>
        <v>16</v>
      </c>
    </row>
    <row r="520" spans="1:15" ht="13.2" x14ac:dyDescent="0.25">
      <c r="A520" s="3">
        <v>519</v>
      </c>
      <c r="B520" s="4">
        <v>40566</v>
      </c>
      <c r="C520" s="3">
        <v>1</v>
      </c>
      <c r="D520" s="3">
        <f t="shared" si="50"/>
        <v>2011</v>
      </c>
      <c r="E520" s="3">
        <v>1</v>
      </c>
      <c r="F520" s="3">
        <v>17</v>
      </c>
      <c r="G520" s="3" t="str">
        <f t="shared" si="51"/>
        <v>Afternoon</v>
      </c>
      <c r="H520" s="3" t="b">
        <v>0</v>
      </c>
      <c r="I520" s="3" t="str">
        <f t="shared" si="49"/>
        <v>Working day</v>
      </c>
      <c r="J520" s="3">
        <v>0</v>
      </c>
      <c r="K520" s="3" t="str">
        <f t="shared" si="52"/>
        <v>Monday</v>
      </c>
      <c r="L520" s="3">
        <v>1</v>
      </c>
      <c r="M520" s="3" t="str">
        <f t="shared" si="53"/>
        <v>Nice weather</v>
      </c>
      <c r="N520" s="3">
        <v>0.14000000000000001</v>
      </c>
      <c r="O520">
        <f t="shared" si="54"/>
        <v>14.000000000000002</v>
      </c>
    </row>
    <row r="521" spans="1:15" ht="13.2" x14ac:dyDescent="0.25">
      <c r="A521" s="3">
        <v>520</v>
      </c>
      <c r="B521" s="4">
        <v>40566</v>
      </c>
      <c r="C521" s="3">
        <v>1</v>
      </c>
      <c r="D521" s="3">
        <f t="shared" si="50"/>
        <v>2011</v>
      </c>
      <c r="E521" s="3">
        <v>1</v>
      </c>
      <c r="F521" s="3">
        <v>18</v>
      </c>
      <c r="G521" s="3" t="str">
        <f t="shared" si="51"/>
        <v>Evening</v>
      </c>
      <c r="H521" s="3" t="b">
        <v>0</v>
      </c>
      <c r="I521" s="3" t="str">
        <f t="shared" si="49"/>
        <v>Working day</v>
      </c>
      <c r="J521" s="3">
        <v>0</v>
      </c>
      <c r="K521" s="3" t="str">
        <f t="shared" si="52"/>
        <v>Monday</v>
      </c>
      <c r="L521" s="3">
        <v>1</v>
      </c>
      <c r="M521" s="3" t="str">
        <f t="shared" si="53"/>
        <v>Nice weather</v>
      </c>
      <c r="N521" s="3">
        <v>0.12</v>
      </c>
      <c r="O521">
        <f t="shared" si="54"/>
        <v>12</v>
      </c>
    </row>
    <row r="522" spans="1:15" ht="13.2" x14ac:dyDescent="0.25">
      <c r="A522" s="3">
        <v>521</v>
      </c>
      <c r="B522" s="4">
        <v>40566</v>
      </c>
      <c r="C522" s="3">
        <v>1</v>
      </c>
      <c r="D522" s="3">
        <f t="shared" si="50"/>
        <v>2011</v>
      </c>
      <c r="E522" s="3">
        <v>1</v>
      </c>
      <c r="F522" s="3">
        <v>19</v>
      </c>
      <c r="G522" s="3" t="str">
        <f t="shared" si="51"/>
        <v>Evening</v>
      </c>
      <c r="H522" s="3" t="b">
        <v>0</v>
      </c>
      <c r="I522" s="3" t="str">
        <f t="shared" si="49"/>
        <v>Working day</v>
      </c>
      <c r="J522" s="3">
        <v>0</v>
      </c>
      <c r="K522" s="3" t="str">
        <f t="shared" si="52"/>
        <v>Monday</v>
      </c>
      <c r="L522" s="3">
        <v>1</v>
      </c>
      <c r="M522" s="3" t="str">
        <f t="shared" si="53"/>
        <v>Nice weather</v>
      </c>
      <c r="N522" s="3">
        <v>0.12</v>
      </c>
      <c r="O522">
        <f t="shared" si="54"/>
        <v>12</v>
      </c>
    </row>
    <row r="523" spans="1:15" ht="13.2" x14ac:dyDescent="0.25">
      <c r="A523" s="3">
        <v>522</v>
      </c>
      <c r="B523" s="4">
        <v>40566</v>
      </c>
      <c r="C523" s="3">
        <v>1</v>
      </c>
      <c r="D523" s="3">
        <f t="shared" si="50"/>
        <v>2011</v>
      </c>
      <c r="E523" s="3">
        <v>1</v>
      </c>
      <c r="F523" s="3">
        <v>20</v>
      </c>
      <c r="G523" s="3" t="str">
        <f t="shared" si="51"/>
        <v>Evening</v>
      </c>
      <c r="H523" s="3" t="b">
        <v>0</v>
      </c>
      <c r="I523" s="3" t="str">
        <f t="shared" si="49"/>
        <v>Working day</v>
      </c>
      <c r="J523" s="3">
        <v>0</v>
      </c>
      <c r="K523" s="3" t="str">
        <f t="shared" si="52"/>
        <v>Monday</v>
      </c>
      <c r="L523" s="3">
        <v>1</v>
      </c>
      <c r="M523" s="3" t="str">
        <f t="shared" si="53"/>
        <v>Nice weather</v>
      </c>
      <c r="N523" s="3">
        <v>0.1</v>
      </c>
      <c r="O523">
        <f t="shared" si="54"/>
        <v>10</v>
      </c>
    </row>
    <row r="524" spans="1:15" ht="13.2" x14ac:dyDescent="0.25">
      <c r="A524" s="3">
        <v>523</v>
      </c>
      <c r="B524" s="4">
        <v>40566</v>
      </c>
      <c r="C524" s="3">
        <v>1</v>
      </c>
      <c r="D524" s="3">
        <f t="shared" si="50"/>
        <v>2011</v>
      </c>
      <c r="E524" s="3">
        <v>1</v>
      </c>
      <c r="F524" s="3">
        <v>21</v>
      </c>
      <c r="G524" s="3" t="str">
        <f t="shared" si="51"/>
        <v>Evening</v>
      </c>
      <c r="H524" s="3" t="b">
        <v>0</v>
      </c>
      <c r="I524" s="3" t="str">
        <f t="shared" si="49"/>
        <v>Working day</v>
      </c>
      <c r="J524" s="3">
        <v>0</v>
      </c>
      <c r="K524" s="3" t="str">
        <f t="shared" si="52"/>
        <v>Monday</v>
      </c>
      <c r="L524" s="3">
        <v>1</v>
      </c>
      <c r="M524" s="3" t="str">
        <f t="shared" si="53"/>
        <v>Nice weather</v>
      </c>
      <c r="N524" s="3">
        <v>0.1</v>
      </c>
      <c r="O524">
        <f t="shared" si="54"/>
        <v>10</v>
      </c>
    </row>
    <row r="525" spans="1:15" ht="13.2" x14ac:dyDescent="0.25">
      <c r="A525" s="3">
        <v>524</v>
      </c>
      <c r="B525" s="4">
        <v>40566</v>
      </c>
      <c r="C525" s="3">
        <v>1</v>
      </c>
      <c r="D525" s="3">
        <f t="shared" si="50"/>
        <v>2011</v>
      </c>
      <c r="E525" s="3">
        <v>1</v>
      </c>
      <c r="F525" s="3">
        <v>22</v>
      </c>
      <c r="G525" s="3" t="str">
        <f t="shared" si="51"/>
        <v>Evening</v>
      </c>
      <c r="H525" s="3" t="b">
        <v>0</v>
      </c>
      <c r="I525" s="3" t="str">
        <f t="shared" si="49"/>
        <v>Working day</v>
      </c>
      <c r="J525" s="3">
        <v>0</v>
      </c>
      <c r="K525" s="3" t="str">
        <f t="shared" si="52"/>
        <v>Monday</v>
      </c>
      <c r="L525" s="3">
        <v>1</v>
      </c>
      <c r="M525" s="3" t="str">
        <f t="shared" si="53"/>
        <v>Nice weather</v>
      </c>
      <c r="N525" s="3">
        <v>0.08</v>
      </c>
      <c r="O525">
        <f t="shared" si="54"/>
        <v>8</v>
      </c>
    </row>
    <row r="526" spans="1:15" ht="13.2" x14ac:dyDescent="0.25">
      <c r="A526" s="3">
        <v>525</v>
      </c>
      <c r="B526" s="4">
        <v>40566</v>
      </c>
      <c r="C526" s="3">
        <v>1</v>
      </c>
      <c r="D526" s="3">
        <f t="shared" si="50"/>
        <v>2011</v>
      </c>
      <c r="E526" s="3">
        <v>1</v>
      </c>
      <c r="F526" s="3">
        <v>23</v>
      </c>
      <c r="G526" s="3" t="str">
        <f t="shared" si="51"/>
        <v>Evening</v>
      </c>
      <c r="H526" s="3" t="b">
        <v>0</v>
      </c>
      <c r="I526" s="3" t="str">
        <f t="shared" si="49"/>
        <v>Working day</v>
      </c>
      <c r="J526" s="3">
        <v>0</v>
      </c>
      <c r="K526" s="3" t="str">
        <f t="shared" si="52"/>
        <v>Monday</v>
      </c>
      <c r="L526" s="3">
        <v>1</v>
      </c>
      <c r="M526" s="3" t="str">
        <f t="shared" si="53"/>
        <v>Nice weather</v>
      </c>
      <c r="N526" s="3">
        <v>0.06</v>
      </c>
      <c r="O526">
        <f t="shared" si="54"/>
        <v>6</v>
      </c>
    </row>
    <row r="527" spans="1:15" ht="13.2" x14ac:dyDescent="0.25">
      <c r="A527" s="3">
        <v>526</v>
      </c>
      <c r="B527" s="4">
        <v>40567</v>
      </c>
      <c r="C527" s="3">
        <v>1</v>
      </c>
      <c r="D527" s="3">
        <f t="shared" si="50"/>
        <v>2011</v>
      </c>
      <c r="E527" s="3">
        <v>1</v>
      </c>
      <c r="F527" s="3">
        <v>0</v>
      </c>
      <c r="G527" s="3" t="str">
        <f t="shared" si="51"/>
        <v>Night</v>
      </c>
      <c r="H527" s="3" t="b">
        <v>0</v>
      </c>
      <c r="I527" s="3" t="str">
        <f t="shared" si="49"/>
        <v>Working day</v>
      </c>
      <c r="J527" s="3">
        <v>1</v>
      </c>
      <c r="K527" s="3" t="str">
        <f t="shared" si="52"/>
        <v>Tuesday</v>
      </c>
      <c r="L527" s="3">
        <v>1</v>
      </c>
      <c r="M527" s="3" t="str">
        <f t="shared" si="53"/>
        <v>Nice weather</v>
      </c>
      <c r="N527" s="3">
        <v>0.06</v>
      </c>
      <c r="O527">
        <f t="shared" si="54"/>
        <v>6</v>
      </c>
    </row>
    <row r="528" spans="1:15" ht="13.2" x14ac:dyDescent="0.25">
      <c r="A528" s="3">
        <v>527</v>
      </c>
      <c r="B528" s="4">
        <v>40567</v>
      </c>
      <c r="C528" s="3">
        <v>1</v>
      </c>
      <c r="D528" s="3">
        <f t="shared" si="50"/>
        <v>2011</v>
      </c>
      <c r="E528" s="3">
        <v>1</v>
      </c>
      <c r="F528" s="3">
        <v>1</v>
      </c>
      <c r="G528" s="3" t="str">
        <f t="shared" si="51"/>
        <v>Night</v>
      </c>
      <c r="H528" s="3" t="b">
        <v>0</v>
      </c>
      <c r="I528" s="3" t="str">
        <f t="shared" si="49"/>
        <v>Working day</v>
      </c>
      <c r="J528" s="3">
        <v>1</v>
      </c>
      <c r="K528" s="3" t="str">
        <f t="shared" si="52"/>
        <v>Tuesday</v>
      </c>
      <c r="L528" s="3">
        <v>1</v>
      </c>
      <c r="M528" s="3" t="str">
        <f t="shared" si="53"/>
        <v>Nice weather</v>
      </c>
      <c r="N528" s="3">
        <v>0.04</v>
      </c>
      <c r="O528">
        <f t="shared" si="54"/>
        <v>4</v>
      </c>
    </row>
    <row r="529" spans="1:15" ht="13.2" x14ac:dyDescent="0.25">
      <c r="A529" s="3">
        <v>528</v>
      </c>
      <c r="B529" s="4">
        <v>40567</v>
      </c>
      <c r="C529" s="3">
        <v>1</v>
      </c>
      <c r="D529" s="3">
        <f t="shared" si="50"/>
        <v>2011</v>
      </c>
      <c r="E529" s="3">
        <v>1</v>
      </c>
      <c r="F529" s="3">
        <v>3</v>
      </c>
      <c r="G529" s="3" t="str">
        <f t="shared" si="51"/>
        <v>Night</v>
      </c>
      <c r="H529" s="3" t="b">
        <v>0</v>
      </c>
      <c r="I529" s="3" t="str">
        <f t="shared" si="49"/>
        <v>Working day</v>
      </c>
      <c r="J529" s="3">
        <v>1</v>
      </c>
      <c r="K529" s="3" t="str">
        <f t="shared" si="52"/>
        <v>Tuesday</v>
      </c>
      <c r="L529" s="3">
        <v>1</v>
      </c>
      <c r="M529" s="3" t="str">
        <f t="shared" si="53"/>
        <v>Nice weather</v>
      </c>
      <c r="N529" s="3">
        <v>0.04</v>
      </c>
      <c r="O529">
        <f t="shared" si="54"/>
        <v>4</v>
      </c>
    </row>
    <row r="530" spans="1:15" ht="13.2" x14ac:dyDescent="0.25">
      <c r="A530" s="3">
        <v>529</v>
      </c>
      <c r="B530" s="4">
        <v>40567</v>
      </c>
      <c r="C530" s="3">
        <v>1</v>
      </c>
      <c r="D530" s="3">
        <f t="shared" si="50"/>
        <v>2011</v>
      </c>
      <c r="E530" s="3">
        <v>1</v>
      </c>
      <c r="F530" s="3">
        <v>4</v>
      </c>
      <c r="G530" s="3" t="str">
        <f t="shared" si="51"/>
        <v>Night</v>
      </c>
      <c r="H530" s="3" t="b">
        <v>0</v>
      </c>
      <c r="I530" s="3" t="str">
        <f t="shared" si="49"/>
        <v>Working day</v>
      </c>
      <c r="J530" s="3">
        <v>1</v>
      </c>
      <c r="K530" s="3" t="str">
        <f t="shared" si="52"/>
        <v>Tuesday</v>
      </c>
      <c r="L530" s="3">
        <v>1</v>
      </c>
      <c r="M530" s="3" t="str">
        <f t="shared" si="53"/>
        <v>Nice weather</v>
      </c>
      <c r="N530" s="3">
        <v>0.02</v>
      </c>
      <c r="O530">
        <f t="shared" si="54"/>
        <v>2</v>
      </c>
    </row>
    <row r="531" spans="1:15" ht="13.2" x14ac:dyDescent="0.25">
      <c r="A531" s="3">
        <v>530</v>
      </c>
      <c r="B531" s="4">
        <v>40567</v>
      </c>
      <c r="C531" s="3">
        <v>1</v>
      </c>
      <c r="D531" s="3">
        <f t="shared" si="50"/>
        <v>2011</v>
      </c>
      <c r="E531" s="3">
        <v>1</v>
      </c>
      <c r="F531" s="3">
        <v>5</v>
      </c>
      <c r="G531" s="3" t="str">
        <f t="shared" si="51"/>
        <v>Night</v>
      </c>
      <c r="H531" s="3" t="b">
        <v>0</v>
      </c>
      <c r="I531" s="3" t="str">
        <f t="shared" si="49"/>
        <v>Working day</v>
      </c>
      <c r="J531" s="3">
        <v>1</v>
      </c>
      <c r="K531" s="3" t="str">
        <f t="shared" si="52"/>
        <v>Tuesday</v>
      </c>
      <c r="L531" s="3">
        <v>1</v>
      </c>
      <c r="M531" s="3" t="str">
        <f t="shared" si="53"/>
        <v>Nice weather</v>
      </c>
      <c r="N531" s="3">
        <v>0.02</v>
      </c>
      <c r="O531">
        <f t="shared" si="54"/>
        <v>2</v>
      </c>
    </row>
    <row r="532" spans="1:15" ht="13.2" x14ac:dyDescent="0.25">
      <c r="A532" s="3">
        <v>531</v>
      </c>
      <c r="B532" s="4">
        <v>40567</v>
      </c>
      <c r="C532" s="3">
        <v>1</v>
      </c>
      <c r="D532" s="3">
        <f t="shared" si="50"/>
        <v>2011</v>
      </c>
      <c r="E532" s="3">
        <v>1</v>
      </c>
      <c r="F532" s="3">
        <v>6</v>
      </c>
      <c r="G532" s="3" t="str">
        <f t="shared" si="51"/>
        <v>Morning</v>
      </c>
      <c r="H532" s="3" t="b">
        <v>0</v>
      </c>
      <c r="I532" s="3" t="str">
        <f t="shared" si="49"/>
        <v>Working day</v>
      </c>
      <c r="J532" s="3">
        <v>1</v>
      </c>
      <c r="K532" s="3" t="str">
        <f t="shared" si="52"/>
        <v>Tuesday</v>
      </c>
      <c r="L532" s="3">
        <v>1</v>
      </c>
      <c r="M532" s="3" t="str">
        <f t="shared" si="53"/>
        <v>Nice weather</v>
      </c>
      <c r="N532" s="3">
        <v>0.02</v>
      </c>
      <c r="O532">
        <f t="shared" si="54"/>
        <v>2</v>
      </c>
    </row>
    <row r="533" spans="1:15" ht="13.2" x14ac:dyDescent="0.25">
      <c r="A533" s="3">
        <v>532</v>
      </c>
      <c r="B533" s="4">
        <v>40567</v>
      </c>
      <c r="C533" s="3">
        <v>1</v>
      </c>
      <c r="D533" s="3">
        <f t="shared" si="50"/>
        <v>2011</v>
      </c>
      <c r="E533" s="3">
        <v>1</v>
      </c>
      <c r="F533" s="3">
        <v>7</v>
      </c>
      <c r="G533" s="3" t="str">
        <f t="shared" si="51"/>
        <v>Morning</v>
      </c>
      <c r="H533" s="3" t="b">
        <v>0</v>
      </c>
      <c r="I533" s="3" t="str">
        <f t="shared" si="49"/>
        <v>Working day</v>
      </c>
      <c r="J533" s="3">
        <v>1</v>
      </c>
      <c r="K533" s="3" t="str">
        <f t="shared" si="52"/>
        <v>Tuesday</v>
      </c>
      <c r="L533" s="3">
        <v>1</v>
      </c>
      <c r="M533" s="3" t="str">
        <f t="shared" si="53"/>
        <v>Nice weather</v>
      </c>
      <c r="N533" s="3">
        <v>0.02</v>
      </c>
      <c r="O533">
        <f t="shared" si="54"/>
        <v>2</v>
      </c>
    </row>
    <row r="534" spans="1:15" ht="13.2" x14ac:dyDescent="0.25">
      <c r="A534" s="3">
        <v>533</v>
      </c>
      <c r="B534" s="4">
        <v>40567</v>
      </c>
      <c r="C534" s="3">
        <v>1</v>
      </c>
      <c r="D534" s="3">
        <f t="shared" si="50"/>
        <v>2011</v>
      </c>
      <c r="E534" s="3">
        <v>1</v>
      </c>
      <c r="F534" s="3">
        <v>8</v>
      </c>
      <c r="G534" s="3" t="str">
        <f t="shared" si="51"/>
        <v>Morning</v>
      </c>
      <c r="H534" s="3" t="b">
        <v>0</v>
      </c>
      <c r="I534" s="3" t="str">
        <f t="shared" si="49"/>
        <v>Working day</v>
      </c>
      <c r="J534" s="3">
        <v>1</v>
      </c>
      <c r="K534" s="3" t="str">
        <f t="shared" si="52"/>
        <v>Tuesday</v>
      </c>
      <c r="L534" s="3">
        <v>1</v>
      </c>
      <c r="M534" s="3" t="str">
        <f t="shared" si="53"/>
        <v>Nice weather</v>
      </c>
      <c r="N534" s="3">
        <v>0.04</v>
      </c>
      <c r="O534">
        <f t="shared" si="54"/>
        <v>4</v>
      </c>
    </row>
    <row r="535" spans="1:15" ht="13.2" x14ac:dyDescent="0.25">
      <c r="A535" s="3">
        <v>534</v>
      </c>
      <c r="B535" s="4">
        <v>40567</v>
      </c>
      <c r="C535" s="3">
        <v>1</v>
      </c>
      <c r="D535" s="3">
        <f t="shared" si="50"/>
        <v>2011</v>
      </c>
      <c r="E535" s="3">
        <v>1</v>
      </c>
      <c r="F535" s="3">
        <v>9</v>
      </c>
      <c r="G535" s="3" t="str">
        <f t="shared" si="51"/>
        <v>Morning</v>
      </c>
      <c r="H535" s="3" t="b">
        <v>0</v>
      </c>
      <c r="I535" s="3" t="str">
        <f t="shared" si="49"/>
        <v>Working day</v>
      </c>
      <c r="J535" s="3">
        <v>1</v>
      </c>
      <c r="K535" s="3" t="str">
        <f t="shared" si="52"/>
        <v>Tuesday</v>
      </c>
      <c r="L535" s="3">
        <v>1</v>
      </c>
      <c r="M535" s="3" t="str">
        <f t="shared" si="53"/>
        <v>Nice weather</v>
      </c>
      <c r="N535" s="3">
        <v>0.06</v>
      </c>
      <c r="O535">
        <f t="shared" si="54"/>
        <v>6</v>
      </c>
    </row>
    <row r="536" spans="1:15" ht="13.2" x14ac:dyDescent="0.25">
      <c r="A536" s="3">
        <v>535</v>
      </c>
      <c r="B536" s="4">
        <v>40567</v>
      </c>
      <c r="C536" s="3">
        <v>1</v>
      </c>
      <c r="D536" s="3">
        <f t="shared" si="50"/>
        <v>2011</v>
      </c>
      <c r="E536" s="3">
        <v>1</v>
      </c>
      <c r="F536" s="3">
        <v>10</v>
      </c>
      <c r="G536" s="3" t="str">
        <f t="shared" si="51"/>
        <v>Morning</v>
      </c>
      <c r="H536" s="3" t="b">
        <v>0</v>
      </c>
      <c r="I536" s="3" t="str">
        <f t="shared" si="49"/>
        <v>Working day</v>
      </c>
      <c r="J536" s="3">
        <v>1</v>
      </c>
      <c r="K536" s="3" t="str">
        <f t="shared" si="52"/>
        <v>Tuesday</v>
      </c>
      <c r="L536" s="3">
        <v>1</v>
      </c>
      <c r="M536" s="3" t="str">
        <f t="shared" si="53"/>
        <v>Nice weather</v>
      </c>
      <c r="N536" s="3">
        <v>0.1</v>
      </c>
      <c r="O536">
        <f t="shared" si="54"/>
        <v>10</v>
      </c>
    </row>
    <row r="537" spans="1:15" ht="13.2" x14ac:dyDescent="0.25">
      <c r="A537" s="3">
        <v>536</v>
      </c>
      <c r="B537" s="4">
        <v>40567</v>
      </c>
      <c r="C537" s="3">
        <v>1</v>
      </c>
      <c r="D537" s="3">
        <f t="shared" si="50"/>
        <v>2011</v>
      </c>
      <c r="E537" s="3">
        <v>1</v>
      </c>
      <c r="F537" s="3">
        <v>11</v>
      </c>
      <c r="G537" s="3" t="str">
        <f t="shared" si="51"/>
        <v>Morning</v>
      </c>
      <c r="H537" s="3" t="b">
        <v>0</v>
      </c>
      <c r="I537" s="3" t="str">
        <f t="shared" si="49"/>
        <v>Working day</v>
      </c>
      <c r="J537" s="3">
        <v>1</v>
      </c>
      <c r="K537" s="3" t="str">
        <f t="shared" si="52"/>
        <v>Tuesday</v>
      </c>
      <c r="L537" s="3">
        <v>1</v>
      </c>
      <c r="M537" s="3" t="str">
        <f t="shared" si="53"/>
        <v>Nice weather</v>
      </c>
      <c r="N537" s="3">
        <v>0.1</v>
      </c>
      <c r="O537">
        <f t="shared" si="54"/>
        <v>10</v>
      </c>
    </row>
    <row r="538" spans="1:15" ht="13.2" x14ac:dyDescent="0.25">
      <c r="A538" s="3">
        <v>537</v>
      </c>
      <c r="B538" s="4">
        <v>40567</v>
      </c>
      <c r="C538" s="3">
        <v>1</v>
      </c>
      <c r="D538" s="3">
        <f t="shared" si="50"/>
        <v>2011</v>
      </c>
      <c r="E538" s="3">
        <v>1</v>
      </c>
      <c r="F538" s="3">
        <v>12</v>
      </c>
      <c r="G538" s="3" t="str">
        <f t="shared" si="51"/>
        <v>Afternoon</v>
      </c>
      <c r="H538" s="3" t="b">
        <v>0</v>
      </c>
      <c r="I538" s="3" t="str">
        <f t="shared" si="49"/>
        <v>Working day</v>
      </c>
      <c r="J538" s="3">
        <v>1</v>
      </c>
      <c r="K538" s="3" t="str">
        <f t="shared" si="52"/>
        <v>Tuesday</v>
      </c>
      <c r="L538" s="3">
        <v>2</v>
      </c>
      <c r="M538" s="3" t="str">
        <f t="shared" si="53"/>
        <v>Mild Cloudy</v>
      </c>
      <c r="N538" s="3">
        <v>0.12</v>
      </c>
      <c r="O538">
        <f t="shared" si="54"/>
        <v>12</v>
      </c>
    </row>
    <row r="539" spans="1:15" ht="13.2" x14ac:dyDescent="0.25">
      <c r="A539" s="3">
        <v>538</v>
      </c>
      <c r="B539" s="4">
        <v>40567</v>
      </c>
      <c r="C539" s="3">
        <v>1</v>
      </c>
      <c r="D539" s="3">
        <f t="shared" si="50"/>
        <v>2011</v>
      </c>
      <c r="E539" s="3">
        <v>1</v>
      </c>
      <c r="F539" s="3">
        <v>13</v>
      </c>
      <c r="G539" s="3" t="str">
        <f t="shared" si="51"/>
        <v>Afternoon</v>
      </c>
      <c r="H539" s="3" t="b">
        <v>0</v>
      </c>
      <c r="I539" s="3" t="str">
        <f t="shared" si="49"/>
        <v>Working day</v>
      </c>
      <c r="J539" s="3">
        <v>1</v>
      </c>
      <c r="K539" s="3" t="str">
        <f t="shared" si="52"/>
        <v>Tuesday</v>
      </c>
      <c r="L539" s="3">
        <v>2</v>
      </c>
      <c r="M539" s="3" t="str">
        <f t="shared" si="53"/>
        <v>Mild Cloudy</v>
      </c>
      <c r="N539" s="3">
        <v>0.14000000000000001</v>
      </c>
      <c r="O539">
        <f t="shared" si="54"/>
        <v>14.000000000000002</v>
      </c>
    </row>
    <row r="540" spans="1:15" ht="13.2" x14ac:dyDescent="0.25">
      <c r="A540" s="3">
        <v>539</v>
      </c>
      <c r="B540" s="4">
        <v>40567</v>
      </c>
      <c r="C540" s="3">
        <v>1</v>
      </c>
      <c r="D540" s="3">
        <f t="shared" si="50"/>
        <v>2011</v>
      </c>
      <c r="E540" s="3">
        <v>1</v>
      </c>
      <c r="F540" s="3">
        <v>14</v>
      </c>
      <c r="G540" s="3" t="str">
        <f t="shared" si="51"/>
        <v>Afternoon</v>
      </c>
      <c r="H540" s="3" t="b">
        <v>0</v>
      </c>
      <c r="I540" s="3" t="str">
        <f t="shared" si="49"/>
        <v>Working day</v>
      </c>
      <c r="J540" s="3">
        <v>1</v>
      </c>
      <c r="K540" s="3" t="str">
        <f t="shared" si="52"/>
        <v>Tuesday</v>
      </c>
      <c r="L540" s="3">
        <v>2</v>
      </c>
      <c r="M540" s="3" t="str">
        <f t="shared" si="53"/>
        <v>Mild Cloudy</v>
      </c>
      <c r="N540" s="3">
        <v>0.14000000000000001</v>
      </c>
      <c r="O540">
        <f t="shared" si="54"/>
        <v>14.000000000000002</v>
      </c>
    </row>
    <row r="541" spans="1:15" ht="13.2" x14ac:dyDescent="0.25">
      <c r="A541" s="3">
        <v>540</v>
      </c>
      <c r="B541" s="4">
        <v>40567</v>
      </c>
      <c r="C541" s="3">
        <v>1</v>
      </c>
      <c r="D541" s="3">
        <f t="shared" si="50"/>
        <v>2011</v>
      </c>
      <c r="E541" s="3">
        <v>1</v>
      </c>
      <c r="F541" s="3">
        <v>15</v>
      </c>
      <c r="G541" s="3" t="str">
        <f t="shared" si="51"/>
        <v>Afternoon</v>
      </c>
      <c r="H541" s="3" t="b">
        <v>0</v>
      </c>
      <c r="I541" s="3" t="str">
        <f t="shared" si="49"/>
        <v>Working day</v>
      </c>
      <c r="J541" s="3">
        <v>1</v>
      </c>
      <c r="K541" s="3" t="str">
        <f t="shared" si="52"/>
        <v>Tuesday</v>
      </c>
      <c r="L541" s="3">
        <v>1</v>
      </c>
      <c r="M541" s="3" t="str">
        <f t="shared" si="53"/>
        <v>Nice weather</v>
      </c>
      <c r="N541" s="3">
        <v>0.16</v>
      </c>
      <c r="O541">
        <f t="shared" si="54"/>
        <v>16</v>
      </c>
    </row>
    <row r="542" spans="1:15" ht="13.2" x14ac:dyDescent="0.25">
      <c r="A542" s="3">
        <v>541</v>
      </c>
      <c r="B542" s="4">
        <v>40567</v>
      </c>
      <c r="C542" s="3">
        <v>1</v>
      </c>
      <c r="D542" s="3">
        <f t="shared" si="50"/>
        <v>2011</v>
      </c>
      <c r="E542" s="3">
        <v>1</v>
      </c>
      <c r="F542" s="3">
        <v>16</v>
      </c>
      <c r="G542" s="3" t="str">
        <f t="shared" si="51"/>
        <v>Afternoon</v>
      </c>
      <c r="H542" s="3" t="b">
        <v>0</v>
      </c>
      <c r="I542" s="3" t="str">
        <f t="shared" si="49"/>
        <v>Working day</v>
      </c>
      <c r="J542" s="3">
        <v>1</v>
      </c>
      <c r="K542" s="3" t="str">
        <f t="shared" si="52"/>
        <v>Tuesday</v>
      </c>
      <c r="L542" s="3">
        <v>1</v>
      </c>
      <c r="M542" s="3" t="str">
        <f t="shared" si="53"/>
        <v>Nice weather</v>
      </c>
      <c r="N542" s="3">
        <v>0.16</v>
      </c>
      <c r="O542">
        <f t="shared" si="54"/>
        <v>16</v>
      </c>
    </row>
    <row r="543" spans="1:15" ht="13.2" x14ac:dyDescent="0.25">
      <c r="A543" s="3">
        <v>542</v>
      </c>
      <c r="B543" s="4">
        <v>40567</v>
      </c>
      <c r="C543" s="3">
        <v>1</v>
      </c>
      <c r="D543" s="3">
        <f t="shared" si="50"/>
        <v>2011</v>
      </c>
      <c r="E543" s="3">
        <v>1</v>
      </c>
      <c r="F543" s="3">
        <v>17</v>
      </c>
      <c r="G543" s="3" t="str">
        <f t="shared" si="51"/>
        <v>Afternoon</v>
      </c>
      <c r="H543" s="3" t="b">
        <v>0</v>
      </c>
      <c r="I543" s="3" t="str">
        <f t="shared" si="49"/>
        <v>Working day</v>
      </c>
      <c r="J543" s="3">
        <v>1</v>
      </c>
      <c r="K543" s="3" t="str">
        <f t="shared" si="52"/>
        <v>Tuesday</v>
      </c>
      <c r="L543" s="3">
        <v>1</v>
      </c>
      <c r="M543" s="3" t="str">
        <f t="shared" si="53"/>
        <v>Nice weather</v>
      </c>
      <c r="N543" s="3">
        <v>0.14000000000000001</v>
      </c>
      <c r="O543">
        <f t="shared" si="54"/>
        <v>14.000000000000002</v>
      </c>
    </row>
    <row r="544" spans="1:15" ht="13.2" x14ac:dyDescent="0.25">
      <c r="A544" s="3">
        <v>543</v>
      </c>
      <c r="B544" s="4">
        <v>40567</v>
      </c>
      <c r="C544" s="3">
        <v>1</v>
      </c>
      <c r="D544" s="3">
        <f t="shared" si="50"/>
        <v>2011</v>
      </c>
      <c r="E544" s="3">
        <v>1</v>
      </c>
      <c r="F544" s="3">
        <v>18</v>
      </c>
      <c r="G544" s="3" t="str">
        <f t="shared" si="51"/>
        <v>Evening</v>
      </c>
      <c r="H544" s="3" t="b">
        <v>0</v>
      </c>
      <c r="I544" s="3" t="str">
        <f t="shared" si="49"/>
        <v>Working day</v>
      </c>
      <c r="J544" s="3">
        <v>1</v>
      </c>
      <c r="K544" s="3" t="str">
        <f t="shared" si="52"/>
        <v>Tuesday</v>
      </c>
      <c r="L544" s="3">
        <v>1</v>
      </c>
      <c r="M544" s="3" t="str">
        <f t="shared" si="53"/>
        <v>Nice weather</v>
      </c>
      <c r="N544" s="3">
        <v>0.14000000000000001</v>
      </c>
      <c r="O544">
        <f t="shared" si="54"/>
        <v>14.000000000000002</v>
      </c>
    </row>
    <row r="545" spans="1:15" ht="13.2" x14ac:dyDescent="0.25">
      <c r="A545" s="3">
        <v>544</v>
      </c>
      <c r="B545" s="4">
        <v>40567</v>
      </c>
      <c r="C545" s="3">
        <v>1</v>
      </c>
      <c r="D545" s="3">
        <f t="shared" si="50"/>
        <v>2011</v>
      </c>
      <c r="E545" s="3">
        <v>1</v>
      </c>
      <c r="F545" s="3">
        <v>19</v>
      </c>
      <c r="G545" s="3" t="str">
        <f t="shared" si="51"/>
        <v>Evening</v>
      </c>
      <c r="H545" s="3" t="b">
        <v>0</v>
      </c>
      <c r="I545" s="3" t="str">
        <f t="shared" si="49"/>
        <v>Working day</v>
      </c>
      <c r="J545" s="3">
        <v>1</v>
      </c>
      <c r="K545" s="3" t="str">
        <f t="shared" si="52"/>
        <v>Tuesday</v>
      </c>
      <c r="L545" s="3">
        <v>1</v>
      </c>
      <c r="M545" s="3" t="str">
        <f t="shared" si="53"/>
        <v>Nice weather</v>
      </c>
      <c r="N545" s="3">
        <v>0.14000000000000001</v>
      </c>
      <c r="O545">
        <f t="shared" si="54"/>
        <v>14.000000000000002</v>
      </c>
    </row>
    <row r="546" spans="1:15" ht="13.2" x14ac:dyDescent="0.25">
      <c r="A546" s="3">
        <v>545</v>
      </c>
      <c r="B546" s="4">
        <v>40567</v>
      </c>
      <c r="C546" s="3">
        <v>1</v>
      </c>
      <c r="D546" s="3">
        <f t="shared" si="50"/>
        <v>2011</v>
      </c>
      <c r="E546" s="3">
        <v>1</v>
      </c>
      <c r="F546" s="3">
        <v>20</v>
      </c>
      <c r="G546" s="3" t="str">
        <f t="shared" si="51"/>
        <v>Evening</v>
      </c>
      <c r="H546" s="3" t="b">
        <v>0</v>
      </c>
      <c r="I546" s="3" t="str">
        <f t="shared" si="49"/>
        <v>Working day</v>
      </c>
      <c r="J546" s="3">
        <v>1</v>
      </c>
      <c r="K546" s="3" t="str">
        <f t="shared" si="52"/>
        <v>Tuesday</v>
      </c>
      <c r="L546" s="3">
        <v>1</v>
      </c>
      <c r="M546" s="3" t="str">
        <f t="shared" si="53"/>
        <v>Nice weather</v>
      </c>
      <c r="N546" s="3">
        <v>0.14000000000000001</v>
      </c>
      <c r="O546">
        <f t="shared" si="54"/>
        <v>14.000000000000002</v>
      </c>
    </row>
    <row r="547" spans="1:15" ht="13.2" x14ac:dyDescent="0.25">
      <c r="A547" s="3">
        <v>546</v>
      </c>
      <c r="B547" s="4">
        <v>40567</v>
      </c>
      <c r="C547" s="3">
        <v>1</v>
      </c>
      <c r="D547" s="3">
        <f t="shared" si="50"/>
        <v>2011</v>
      </c>
      <c r="E547" s="3">
        <v>1</v>
      </c>
      <c r="F547" s="3">
        <v>21</v>
      </c>
      <c r="G547" s="3" t="str">
        <f t="shared" si="51"/>
        <v>Evening</v>
      </c>
      <c r="H547" s="3" t="b">
        <v>0</v>
      </c>
      <c r="I547" s="3" t="str">
        <f t="shared" si="49"/>
        <v>Working day</v>
      </c>
      <c r="J547" s="3">
        <v>1</v>
      </c>
      <c r="K547" s="3" t="str">
        <f t="shared" si="52"/>
        <v>Tuesday</v>
      </c>
      <c r="L547" s="3">
        <v>1</v>
      </c>
      <c r="M547" s="3" t="str">
        <f t="shared" si="53"/>
        <v>Nice weather</v>
      </c>
      <c r="N547" s="3">
        <v>0.14000000000000001</v>
      </c>
      <c r="O547">
        <f t="shared" si="54"/>
        <v>14.000000000000002</v>
      </c>
    </row>
    <row r="548" spans="1:15" ht="13.2" x14ac:dyDescent="0.25">
      <c r="A548" s="3">
        <v>547</v>
      </c>
      <c r="B548" s="4">
        <v>40567</v>
      </c>
      <c r="C548" s="3">
        <v>1</v>
      </c>
      <c r="D548" s="3">
        <f t="shared" si="50"/>
        <v>2011</v>
      </c>
      <c r="E548" s="3">
        <v>1</v>
      </c>
      <c r="F548" s="3">
        <v>22</v>
      </c>
      <c r="G548" s="3" t="str">
        <f t="shared" si="51"/>
        <v>Evening</v>
      </c>
      <c r="H548" s="3" t="b">
        <v>0</v>
      </c>
      <c r="I548" s="3" t="str">
        <f t="shared" si="49"/>
        <v>Working day</v>
      </c>
      <c r="J548" s="3">
        <v>1</v>
      </c>
      <c r="K548" s="3" t="str">
        <f t="shared" si="52"/>
        <v>Tuesday</v>
      </c>
      <c r="L548" s="3">
        <v>2</v>
      </c>
      <c r="M548" s="3" t="str">
        <f t="shared" si="53"/>
        <v>Mild Cloudy</v>
      </c>
      <c r="N548" s="3">
        <v>0.14000000000000001</v>
      </c>
      <c r="O548">
        <f t="shared" si="54"/>
        <v>14.000000000000002</v>
      </c>
    </row>
    <row r="549" spans="1:15" ht="13.2" x14ac:dyDescent="0.25">
      <c r="A549" s="3">
        <v>548</v>
      </c>
      <c r="B549" s="4">
        <v>40567</v>
      </c>
      <c r="C549" s="3">
        <v>1</v>
      </c>
      <c r="D549" s="3">
        <f t="shared" si="50"/>
        <v>2011</v>
      </c>
      <c r="E549" s="3">
        <v>1</v>
      </c>
      <c r="F549" s="3">
        <v>23</v>
      </c>
      <c r="G549" s="3" t="str">
        <f t="shared" si="51"/>
        <v>Evening</v>
      </c>
      <c r="H549" s="3" t="b">
        <v>0</v>
      </c>
      <c r="I549" s="3" t="str">
        <f t="shared" si="49"/>
        <v>Working day</v>
      </c>
      <c r="J549" s="3">
        <v>1</v>
      </c>
      <c r="K549" s="3" t="str">
        <f t="shared" si="52"/>
        <v>Tuesday</v>
      </c>
      <c r="L549" s="3">
        <v>2</v>
      </c>
      <c r="M549" s="3" t="str">
        <f t="shared" si="53"/>
        <v>Mild Cloudy</v>
      </c>
      <c r="N549" s="3">
        <v>0.16</v>
      </c>
      <c r="O549">
        <f t="shared" si="54"/>
        <v>16</v>
      </c>
    </row>
    <row r="550" spans="1:15" ht="13.2" x14ac:dyDescent="0.25">
      <c r="A550" s="3">
        <v>549</v>
      </c>
      <c r="B550" s="4">
        <v>40568</v>
      </c>
      <c r="C550" s="3">
        <v>1</v>
      </c>
      <c r="D550" s="3">
        <f t="shared" si="50"/>
        <v>2011</v>
      </c>
      <c r="E550" s="3">
        <v>1</v>
      </c>
      <c r="F550" s="3">
        <v>0</v>
      </c>
      <c r="G550" s="3" t="str">
        <f t="shared" si="51"/>
        <v>Night</v>
      </c>
      <c r="H550" s="3" t="b">
        <v>0</v>
      </c>
      <c r="I550" s="3" t="str">
        <f t="shared" si="49"/>
        <v>Working day</v>
      </c>
      <c r="J550" s="3">
        <v>2</v>
      </c>
      <c r="K550" s="3" t="str">
        <f t="shared" si="52"/>
        <v>Wednesday</v>
      </c>
      <c r="L550" s="3">
        <v>2</v>
      </c>
      <c r="M550" s="3" t="str">
        <f t="shared" si="53"/>
        <v>Mild Cloudy</v>
      </c>
      <c r="N550" s="3">
        <v>0.16</v>
      </c>
      <c r="O550">
        <f t="shared" si="54"/>
        <v>16</v>
      </c>
    </row>
    <row r="551" spans="1:15" ht="13.2" x14ac:dyDescent="0.25">
      <c r="A551" s="3">
        <v>550</v>
      </c>
      <c r="B551" s="4">
        <v>40568</v>
      </c>
      <c r="C551" s="3">
        <v>1</v>
      </c>
      <c r="D551" s="3">
        <f t="shared" si="50"/>
        <v>2011</v>
      </c>
      <c r="E551" s="3">
        <v>1</v>
      </c>
      <c r="F551" s="3">
        <v>1</v>
      </c>
      <c r="G551" s="3" t="str">
        <f t="shared" si="51"/>
        <v>Night</v>
      </c>
      <c r="H551" s="3" t="b">
        <v>0</v>
      </c>
      <c r="I551" s="3" t="str">
        <f t="shared" si="49"/>
        <v>Working day</v>
      </c>
      <c r="J551" s="3">
        <v>2</v>
      </c>
      <c r="K551" s="3" t="str">
        <f t="shared" si="52"/>
        <v>Wednesday</v>
      </c>
      <c r="L551" s="3">
        <v>2</v>
      </c>
      <c r="M551" s="3" t="str">
        <f t="shared" si="53"/>
        <v>Mild Cloudy</v>
      </c>
      <c r="N551" s="3">
        <v>0.16</v>
      </c>
      <c r="O551">
        <f t="shared" si="54"/>
        <v>16</v>
      </c>
    </row>
    <row r="552" spans="1:15" ht="13.2" x14ac:dyDescent="0.25">
      <c r="A552" s="3">
        <v>551</v>
      </c>
      <c r="B552" s="4">
        <v>40568</v>
      </c>
      <c r="C552" s="3">
        <v>1</v>
      </c>
      <c r="D552" s="3">
        <f t="shared" si="50"/>
        <v>2011</v>
      </c>
      <c r="E552" s="3">
        <v>1</v>
      </c>
      <c r="F552" s="3">
        <v>2</v>
      </c>
      <c r="G552" s="3" t="str">
        <f t="shared" si="51"/>
        <v>Night</v>
      </c>
      <c r="H552" s="3" t="b">
        <v>0</v>
      </c>
      <c r="I552" s="3" t="str">
        <f t="shared" si="49"/>
        <v>Working day</v>
      </c>
      <c r="J552" s="3">
        <v>2</v>
      </c>
      <c r="K552" s="3" t="str">
        <f t="shared" si="52"/>
        <v>Wednesday</v>
      </c>
      <c r="L552" s="3">
        <v>1</v>
      </c>
      <c r="M552" s="3" t="str">
        <f t="shared" si="53"/>
        <v>Nice weather</v>
      </c>
      <c r="N552" s="3">
        <v>0.16</v>
      </c>
      <c r="O552">
        <f t="shared" si="54"/>
        <v>16</v>
      </c>
    </row>
    <row r="553" spans="1:15" ht="13.2" x14ac:dyDescent="0.25">
      <c r="A553" s="3">
        <v>552</v>
      </c>
      <c r="B553" s="4">
        <v>40568</v>
      </c>
      <c r="C553" s="3">
        <v>1</v>
      </c>
      <c r="D553" s="3">
        <f t="shared" si="50"/>
        <v>2011</v>
      </c>
      <c r="E553" s="3">
        <v>1</v>
      </c>
      <c r="F553" s="3">
        <v>4</v>
      </c>
      <c r="G553" s="3" t="str">
        <f t="shared" si="51"/>
        <v>Night</v>
      </c>
      <c r="H553" s="3" t="b">
        <v>0</v>
      </c>
      <c r="I553" s="3" t="str">
        <f t="shared" si="49"/>
        <v>Working day</v>
      </c>
      <c r="J553" s="3">
        <v>2</v>
      </c>
      <c r="K553" s="3" t="str">
        <f t="shared" si="52"/>
        <v>Wednesday</v>
      </c>
      <c r="L553" s="3">
        <v>1</v>
      </c>
      <c r="M553" s="3" t="str">
        <f t="shared" si="53"/>
        <v>Nice weather</v>
      </c>
      <c r="N553" s="3">
        <v>0.14000000000000001</v>
      </c>
      <c r="O553">
        <f t="shared" si="54"/>
        <v>14.000000000000002</v>
      </c>
    </row>
    <row r="554" spans="1:15" ht="13.2" x14ac:dyDescent="0.25">
      <c r="A554" s="3">
        <v>553</v>
      </c>
      <c r="B554" s="4">
        <v>40568</v>
      </c>
      <c r="C554" s="3">
        <v>1</v>
      </c>
      <c r="D554" s="3">
        <f t="shared" si="50"/>
        <v>2011</v>
      </c>
      <c r="E554" s="3">
        <v>1</v>
      </c>
      <c r="F554" s="3">
        <v>5</v>
      </c>
      <c r="G554" s="3" t="str">
        <f t="shared" si="51"/>
        <v>Night</v>
      </c>
      <c r="H554" s="3" t="b">
        <v>0</v>
      </c>
      <c r="I554" s="3" t="str">
        <f t="shared" si="49"/>
        <v>Working day</v>
      </c>
      <c r="J554" s="3">
        <v>2</v>
      </c>
      <c r="K554" s="3" t="str">
        <f t="shared" si="52"/>
        <v>Wednesday</v>
      </c>
      <c r="L554" s="3">
        <v>1</v>
      </c>
      <c r="M554" s="3" t="str">
        <f t="shared" si="53"/>
        <v>Nice weather</v>
      </c>
      <c r="N554" s="3">
        <v>0.14000000000000001</v>
      </c>
      <c r="O554">
        <f t="shared" si="54"/>
        <v>14.000000000000002</v>
      </c>
    </row>
    <row r="555" spans="1:15" ht="13.2" x14ac:dyDescent="0.25">
      <c r="A555" s="3">
        <v>554</v>
      </c>
      <c r="B555" s="4">
        <v>40568</v>
      </c>
      <c r="C555" s="3">
        <v>1</v>
      </c>
      <c r="D555" s="3">
        <f t="shared" si="50"/>
        <v>2011</v>
      </c>
      <c r="E555" s="3">
        <v>1</v>
      </c>
      <c r="F555" s="3">
        <v>6</v>
      </c>
      <c r="G555" s="3" t="str">
        <f t="shared" si="51"/>
        <v>Morning</v>
      </c>
      <c r="H555" s="3" t="b">
        <v>0</v>
      </c>
      <c r="I555" s="3" t="str">
        <f t="shared" si="49"/>
        <v>Working day</v>
      </c>
      <c r="J555" s="3">
        <v>2</v>
      </c>
      <c r="K555" s="3" t="str">
        <f t="shared" si="52"/>
        <v>Wednesday</v>
      </c>
      <c r="L555" s="3">
        <v>1</v>
      </c>
      <c r="M555" s="3" t="str">
        <f t="shared" si="53"/>
        <v>Nice weather</v>
      </c>
      <c r="N555" s="3">
        <v>0.16</v>
      </c>
      <c r="O555">
        <f t="shared" si="54"/>
        <v>16</v>
      </c>
    </row>
    <row r="556" spans="1:15" ht="13.2" x14ac:dyDescent="0.25">
      <c r="A556" s="3">
        <v>555</v>
      </c>
      <c r="B556" s="4">
        <v>40568</v>
      </c>
      <c r="C556" s="3">
        <v>1</v>
      </c>
      <c r="D556" s="3">
        <f t="shared" si="50"/>
        <v>2011</v>
      </c>
      <c r="E556" s="3">
        <v>1</v>
      </c>
      <c r="F556" s="3">
        <v>7</v>
      </c>
      <c r="G556" s="3" t="str">
        <f t="shared" si="51"/>
        <v>Morning</v>
      </c>
      <c r="H556" s="3" t="b">
        <v>0</v>
      </c>
      <c r="I556" s="3" t="str">
        <f t="shared" si="49"/>
        <v>Working day</v>
      </c>
      <c r="J556" s="3">
        <v>2</v>
      </c>
      <c r="K556" s="3" t="str">
        <f t="shared" si="52"/>
        <v>Wednesday</v>
      </c>
      <c r="L556" s="3">
        <v>1</v>
      </c>
      <c r="M556" s="3" t="str">
        <f t="shared" si="53"/>
        <v>Nice weather</v>
      </c>
      <c r="N556" s="3">
        <v>0.16</v>
      </c>
      <c r="O556">
        <f t="shared" si="54"/>
        <v>16</v>
      </c>
    </row>
    <row r="557" spans="1:15" ht="13.2" x14ac:dyDescent="0.25">
      <c r="A557" s="3">
        <v>556</v>
      </c>
      <c r="B557" s="4">
        <v>40568</v>
      </c>
      <c r="C557" s="3">
        <v>1</v>
      </c>
      <c r="D557" s="3">
        <f t="shared" si="50"/>
        <v>2011</v>
      </c>
      <c r="E557" s="3">
        <v>1</v>
      </c>
      <c r="F557" s="3">
        <v>8</v>
      </c>
      <c r="G557" s="3" t="str">
        <f t="shared" si="51"/>
        <v>Morning</v>
      </c>
      <c r="H557" s="3" t="b">
        <v>0</v>
      </c>
      <c r="I557" s="3" t="str">
        <f t="shared" si="49"/>
        <v>Working day</v>
      </c>
      <c r="J557" s="3">
        <v>2</v>
      </c>
      <c r="K557" s="3" t="str">
        <f t="shared" si="52"/>
        <v>Wednesday</v>
      </c>
      <c r="L557" s="3">
        <v>2</v>
      </c>
      <c r="M557" s="3" t="str">
        <f t="shared" si="53"/>
        <v>Mild Cloudy</v>
      </c>
      <c r="N557" s="3">
        <v>0.16</v>
      </c>
      <c r="O557">
        <f t="shared" si="54"/>
        <v>16</v>
      </c>
    </row>
    <row r="558" spans="1:15" ht="13.2" x14ac:dyDescent="0.25">
      <c r="A558" s="3">
        <v>557</v>
      </c>
      <c r="B558" s="4">
        <v>40568</v>
      </c>
      <c r="C558" s="3">
        <v>1</v>
      </c>
      <c r="D558" s="3">
        <f t="shared" si="50"/>
        <v>2011</v>
      </c>
      <c r="E558" s="3">
        <v>1</v>
      </c>
      <c r="F558" s="3">
        <v>9</v>
      </c>
      <c r="G558" s="3" t="str">
        <f t="shared" si="51"/>
        <v>Morning</v>
      </c>
      <c r="H558" s="3" t="b">
        <v>0</v>
      </c>
      <c r="I558" s="3" t="str">
        <f t="shared" si="49"/>
        <v>Working day</v>
      </c>
      <c r="J558" s="3">
        <v>2</v>
      </c>
      <c r="K558" s="3" t="str">
        <f t="shared" si="52"/>
        <v>Wednesday</v>
      </c>
      <c r="L558" s="3">
        <v>2</v>
      </c>
      <c r="M558" s="3" t="str">
        <f t="shared" si="53"/>
        <v>Mild Cloudy</v>
      </c>
      <c r="N558" s="3">
        <v>0.2</v>
      </c>
      <c r="O558">
        <f t="shared" si="54"/>
        <v>20</v>
      </c>
    </row>
    <row r="559" spans="1:15" ht="13.2" x14ac:dyDescent="0.25">
      <c r="A559" s="3">
        <v>558</v>
      </c>
      <c r="B559" s="4">
        <v>40568</v>
      </c>
      <c r="C559" s="3">
        <v>1</v>
      </c>
      <c r="D559" s="3">
        <f t="shared" si="50"/>
        <v>2011</v>
      </c>
      <c r="E559" s="3">
        <v>1</v>
      </c>
      <c r="F559" s="3">
        <v>10</v>
      </c>
      <c r="G559" s="3" t="str">
        <f t="shared" si="51"/>
        <v>Morning</v>
      </c>
      <c r="H559" s="3" t="b">
        <v>0</v>
      </c>
      <c r="I559" s="3" t="str">
        <f t="shared" si="49"/>
        <v>Working day</v>
      </c>
      <c r="J559" s="3">
        <v>2</v>
      </c>
      <c r="K559" s="3" t="str">
        <f t="shared" si="52"/>
        <v>Wednesday</v>
      </c>
      <c r="L559" s="3">
        <v>2</v>
      </c>
      <c r="M559" s="3" t="str">
        <f t="shared" si="53"/>
        <v>Mild Cloudy</v>
      </c>
      <c r="N559" s="3">
        <v>0.22</v>
      </c>
      <c r="O559">
        <f t="shared" si="54"/>
        <v>22</v>
      </c>
    </row>
    <row r="560" spans="1:15" ht="13.2" x14ac:dyDescent="0.25">
      <c r="A560" s="3">
        <v>559</v>
      </c>
      <c r="B560" s="4">
        <v>40568</v>
      </c>
      <c r="C560" s="3">
        <v>1</v>
      </c>
      <c r="D560" s="3">
        <f t="shared" si="50"/>
        <v>2011</v>
      </c>
      <c r="E560" s="3">
        <v>1</v>
      </c>
      <c r="F560" s="3">
        <v>11</v>
      </c>
      <c r="G560" s="3" t="str">
        <f t="shared" si="51"/>
        <v>Morning</v>
      </c>
      <c r="H560" s="3" t="b">
        <v>0</v>
      </c>
      <c r="I560" s="3" t="str">
        <f t="shared" si="49"/>
        <v>Working day</v>
      </c>
      <c r="J560" s="3">
        <v>2</v>
      </c>
      <c r="K560" s="3" t="str">
        <f t="shared" si="52"/>
        <v>Wednesday</v>
      </c>
      <c r="L560" s="3">
        <v>2</v>
      </c>
      <c r="M560" s="3" t="str">
        <f t="shared" si="53"/>
        <v>Mild Cloudy</v>
      </c>
      <c r="N560" s="3">
        <v>0.24</v>
      </c>
      <c r="O560">
        <f t="shared" si="54"/>
        <v>24</v>
      </c>
    </row>
    <row r="561" spans="1:15" ht="13.2" x14ac:dyDescent="0.25">
      <c r="A561" s="3">
        <v>560</v>
      </c>
      <c r="B561" s="4">
        <v>40568</v>
      </c>
      <c r="C561" s="3">
        <v>1</v>
      </c>
      <c r="D561" s="3">
        <f t="shared" si="50"/>
        <v>2011</v>
      </c>
      <c r="E561" s="3">
        <v>1</v>
      </c>
      <c r="F561" s="3">
        <v>12</v>
      </c>
      <c r="G561" s="3" t="str">
        <f t="shared" si="51"/>
        <v>Afternoon</v>
      </c>
      <c r="H561" s="3" t="b">
        <v>0</v>
      </c>
      <c r="I561" s="3" t="str">
        <f t="shared" si="49"/>
        <v>Working day</v>
      </c>
      <c r="J561" s="3">
        <v>2</v>
      </c>
      <c r="K561" s="3" t="str">
        <f t="shared" si="52"/>
        <v>Wednesday</v>
      </c>
      <c r="L561" s="3">
        <v>2</v>
      </c>
      <c r="M561" s="3" t="str">
        <f t="shared" si="53"/>
        <v>Mild Cloudy</v>
      </c>
      <c r="N561" s="3">
        <v>0.26</v>
      </c>
      <c r="O561">
        <f t="shared" si="54"/>
        <v>26</v>
      </c>
    </row>
    <row r="562" spans="1:15" ht="13.2" x14ac:dyDescent="0.25">
      <c r="A562" s="3">
        <v>561</v>
      </c>
      <c r="B562" s="4">
        <v>40568</v>
      </c>
      <c r="C562" s="3">
        <v>1</v>
      </c>
      <c r="D562" s="3">
        <f t="shared" si="50"/>
        <v>2011</v>
      </c>
      <c r="E562" s="3">
        <v>1</v>
      </c>
      <c r="F562" s="3">
        <v>13</v>
      </c>
      <c r="G562" s="3" t="str">
        <f t="shared" si="51"/>
        <v>Afternoon</v>
      </c>
      <c r="H562" s="3" t="b">
        <v>0</v>
      </c>
      <c r="I562" s="3" t="str">
        <f t="shared" si="49"/>
        <v>Working day</v>
      </c>
      <c r="J562" s="3">
        <v>2</v>
      </c>
      <c r="K562" s="3" t="str">
        <f t="shared" si="52"/>
        <v>Wednesday</v>
      </c>
      <c r="L562" s="3">
        <v>2</v>
      </c>
      <c r="M562" s="3" t="str">
        <f t="shared" si="53"/>
        <v>Mild Cloudy</v>
      </c>
      <c r="N562" s="3">
        <v>0.26</v>
      </c>
      <c r="O562">
        <f t="shared" si="54"/>
        <v>26</v>
      </c>
    </row>
    <row r="563" spans="1:15" ht="13.2" x14ac:dyDescent="0.25">
      <c r="A563" s="3">
        <v>562</v>
      </c>
      <c r="B563" s="4">
        <v>40568</v>
      </c>
      <c r="C563" s="3">
        <v>1</v>
      </c>
      <c r="D563" s="3">
        <f t="shared" si="50"/>
        <v>2011</v>
      </c>
      <c r="E563" s="3">
        <v>1</v>
      </c>
      <c r="F563" s="3">
        <v>14</v>
      </c>
      <c r="G563" s="3" t="str">
        <f t="shared" si="51"/>
        <v>Afternoon</v>
      </c>
      <c r="H563" s="3" t="b">
        <v>0</v>
      </c>
      <c r="I563" s="3" t="str">
        <f t="shared" si="49"/>
        <v>Working day</v>
      </c>
      <c r="J563" s="3">
        <v>2</v>
      </c>
      <c r="K563" s="3" t="str">
        <f t="shared" si="52"/>
        <v>Wednesday</v>
      </c>
      <c r="L563" s="3">
        <v>2</v>
      </c>
      <c r="M563" s="3" t="str">
        <f t="shared" si="53"/>
        <v>Mild Cloudy</v>
      </c>
      <c r="N563" s="3">
        <v>0.3</v>
      </c>
      <c r="O563">
        <f t="shared" si="54"/>
        <v>30</v>
      </c>
    </row>
    <row r="564" spans="1:15" ht="13.2" x14ac:dyDescent="0.25">
      <c r="A564" s="3">
        <v>563</v>
      </c>
      <c r="B564" s="4">
        <v>40568</v>
      </c>
      <c r="C564" s="3">
        <v>1</v>
      </c>
      <c r="D564" s="3">
        <f t="shared" si="50"/>
        <v>2011</v>
      </c>
      <c r="E564" s="3">
        <v>1</v>
      </c>
      <c r="F564" s="3">
        <v>15</v>
      </c>
      <c r="G564" s="3" t="str">
        <f t="shared" si="51"/>
        <v>Afternoon</v>
      </c>
      <c r="H564" s="3" t="b">
        <v>0</v>
      </c>
      <c r="I564" s="3" t="str">
        <f t="shared" si="49"/>
        <v>Working day</v>
      </c>
      <c r="J564" s="3">
        <v>2</v>
      </c>
      <c r="K564" s="3" t="str">
        <f t="shared" si="52"/>
        <v>Wednesday</v>
      </c>
      <c r="L564" s="3">
        <v>2</v>
      </c>
      <c r="M564" s="3" t="str">
        <f t="shared" si="53"/>
        <v>Mild Cloudy</v>
      </c>
      <c r="N564" s="3">
        <v>0.32</v>
      </c>
      <c r="O564">
        <f t="shared" si="54"/>
        <v>32</v>
      </c>
    </row>
    <row r="565" spans="1:15" ht="13.2" x14ac:dyDescent="0.25">
      <c r="A565" s="3">
        <v>564</v>
      </c>
      <c r="B565" s="4">
        <v>40568</v>
      </c>
      <c r="C565" s="3">
        <v>1</v>
      </c>
      <c r="D565" s="3">
        <f t="shared" si="50"/>
        <v>2011</v>
      </c>
      <c r="E565" s="3">
        <v>1</v>
      </c>
      <c r="F565" s="3">
        <v>16</v>
      </c>
      <c r="G565" s="3" t="str">
        <f t="shared" si="51"/>
        <v>Afternoon</v>
      </c>
      <c r="H565" s="3" t="b">
        <v>0</v>
      </c>
      <c r="I565" s="3" t="str">
        <f t="shared" si="49"/>
        <v>Working day</v>
      </c>
      <c r="J565" s="3">
        <v>2</v>
      </c>
      <c r="K565" s="3" t="str">
        <f t="shared" si="52"/>
        <v>Wednesday</v>
      </c>
      <c r="L565" s="3">
        <v>2</v>
      </c>
      <c r="M565" s="3" t="str">
        <f t="shared" si="53"/>
        <v>Mild Cloudy</v>
      </c>
      <c r="N565" s="3">
        <v>0.32</v>
      </c>
      <c r="O565">
        <f t="shared" si="54"/>
        <v>32</v>
      </c>
    </row>
    <row r="566" spans="1:15" ht="13.2" x14ac:dyDescent="0.25">
      <c r="A566" s="3">
        <v>565</v>
      </c>
      <c r="B566" s="4">
        <v>40568</v>
      </c>
      <c r="C566" s="3">
        <v>1</v>
      </c>
      <c r="D566" s="3">
        <f t="shared" si="50"/>
        <v>2011</v>
      </c>
      <c r="E566" s="3">
        <v>1</v>
      </c>
      <c r="F566" s="3">
        <v>17</v>
      </c>
      <c r="G566" s="3" t="str">
        <f t="shared" si="51"/>
        <v>Afternoon</v>
      </c>
      <c r="H566" s="3" t="b">
        <v>0</v>
      </c>
      <c r="I566" s="3" t="str">
        <f t="shared" si="49"/>
        <v>Working day</v>
      </c>
      <c r="J566" s="3">
        <v>2</v>
      </c>
      <c r="K566" s="3" t="str">
        <f t="shared" si="52"/>
        <v>Wednesday</v>
      </c>
      <c r="L566" s="3">
        <v>1</v>
      </c>
      <c r="M566" s="3" t="str">
        <f t="shared" si="53"/>
        <v>Nice weather</v>
      </c>
      <c r="N566" s="3">
        <v>0.3</v>
      </c>
      <c r="O566">
        <f t="shared" si="54"/>
        <v>30</v>
      </c>
    </row>
    <row r="567" spans="1:15" ht="13.2" x14ac:dyDescent="0.25">
      <c r="A567" s="3">
        <v>566</v>
      </c>
      <c r="B567" s="4">
        <v>40568</v>
      </c>
      <c r="C567" s="3">
        <v>1</v>
      </c>
      <c r="D567" s="3">
        <f t="shared" si="50"/>
        <v>2011</v>
      </c>
      <c r="E567" s="3">
        <v>1</v>
      </c>
      <c r="F567" s="3">
        <v>18</v>
      </c>
      <c r="G567" s="3" t="str">
        <f t="shared" si="51"/>
        <v>Evening</v>
      </c>
      <c r="H567" s="3" t="b">
        <v>0</v>
      </c>
      <c r="I567" s="3" t="str">
        <f t="shared" si="49"/>
        <v>Working day</v>
      </c>
      <c r="J567" s="3">
        <v>2</v>
      </c>
      <c r="K567" s="3" t="str">
        <f t="shared" si="52"/>
        <v>Wednesday</v>
      </c>
      <c r="L567" s="3">
        <v>2</v>
      </c>
      <c r="M567" s="3" t="str">
        <f t="shared" si="53"/>
        <v>Mild Cloudy</v>
      </c>
      <c r="N567" s="3">
        <v>0.3</v>
      </c>
      <c r="O567">
        <f t="shared" si="54"/>
        <v>30</v>
      </c>
    </row>
    <row r="568" spans="1:15" ht="13.2" x14ac:dyDescent="0.25">
      <c r="A568" s="3">
        <v>567</v>
      </c>
      <c r="B568" s="4">
        <v>40568</v>
      </c>
      <c r="C568" s="3">
        <v>1</v>
      </c>
      <c r="D568" s="3">
        <f t="shared" si="50"/>
        <v>2011</v>
      </c>
      <c r="E568" s="3">
        <v>1</v>
      </c>
      <c r="F568" s="3">
        <v>19</v>
      </c>
      <c r="G568" s="3" t="str">
        <f t="shared" si="51"/>
        <v>Evening</v>
      </c>
      <c r="H568" s="3" t="b">
        <v>0</v>
      </c>
      <c r="I568" s="3" t="str">
        <f t="shared" si="49"/>
        <v>Working day</v>
      </c>
      <c r="J568" s="3">
        <v>2</v>
      </c>
      <c r="K568" s="3" t="str">
        <f t="shared" si="52"/>
        <v>Wednesday</v>
      </c>
      <c r="L568" s="3">
        <v>2</v>
      </c>
      <c r="M568" s="3" t="str">
        <f t="shared" si="53"/>
        <v>Mild Cloudy</v>
      </c>
      <c r="N568" s="3">
        <v>0.26</v>
      </c>
      <c r="O568">
        <f t="shared" si="54"/>
        <v>26</v>
      </c>
    </row>
    <row r="569" spans="1:15" ht="13.2" x14ac:dyDescent="0.25">
      <c r="A569" s="3">
        <v>568</v>
      </c>
      <c r="B569" s="4">
        <v>40568</v>
      </c>
      <c r="C569" s="3">
        <v>1</v>
      </c>
      <c r="D569" s="3">
        <f t="shared" si="50"/>
        <v>2011</v>
      </c>
      <c r="E569" s="3">
        <v>1</v>
      </c>
      <c r="F569" s="3">
        <v>20</v>
      </c>
      <c r="G569" s="3" t="str">
        <f t="shared" si="51"/>
        <v>Evening</v>
      </c>
      <c r="H569" s="3" t="b">
        <v>0</v>
      </c>
      <c r="I569" s="3" t="str">
        <f t="shared" si="49"/>
        <v>Working day</v>
      </c>
      <c r="J569" s="3">
        <v>2</v>
      </c>
      <c r="K569" s="3" t="str">
        <f t="shared" si="52"/>
        <v>Wednesday</v>
      </c>
      <c r="L569" s="3">
        <v>1</v>
      </c>
      <c r="M569" s="3" t="str">
        <f t="shared" si="53"/>
        <v>Nice weather</v>
      </c>
      <c r="N569" s="3">
        <v>0.24</v>
      </c>
      <c r="O569">
        <f t="shared" si="54"/>
        <v>24</v>
      </c>
    </row>
    <row r="570" spans="1:15" ht="13.2" x14ac:dyDescent="0.25">
      <c r="A570" s="3">
        <v>569</v>
      </c>
      <c r="B570" s="4">
        <v>40568</v>
      </c>
      <c r="C570" s="3">
        <v>1</v>
      </c>
      <c r="D570" s="3">
        <f t="shared" si="50"/>
        <v>2011</v>
      </c>
      <c r="E570" s="3">
        <v>1</v>
      </c>
      <c r="F570" s="3">
        <v>21</v>
      </c>
      <c r="G570" s="3" t="str">
        <f t="shared" si="51"/>
        <v>Evening</v>
      </c>
      <c r="H570" s="3" t="b">
        <v>0</v>
      </c>
      <c r="I570" s="3" t="str">
        <f t="shared" si="49"/>
        <v>Working day</v>
      </c>
      <c r="J570" s="3">
        <v>2</v>
      </c>
      <c r="K570" s="3" t="str">
        <f t="shared" si="52"/>
        <v>Wednesday</v>
      </c>
      <c r="L570" s="3">
        <v>1</v>
      </c>
      <c r="M570" s="3" t="str">
        <f t="shared" si="53"/>
        <v>Nice weather</v>
      </c>
      <c r="N570" s="3">
        <v>0.24</v>
      </c>
      <c r="O570">
        <f t="shared" si="54"/>
        <v>24</v>
      </c>
    </row>
    <row r="571" spans="1:15" ht="13.2" x14ac:dyDescent="0.25">
      <c r="A571" s="3">
        <v>570</v>
      </c>
      <c r="B571" s="4">
        <v>40568</v>
      </c>
      <c r="C571" s="3">
        <v>1</v>
      </c>
      <c r="D571" s="3">
        <f t="shared" si="50"/>
        <v>2011</v>
      </c>
      <c r="E571" s="3">
        <v>1</v>
      </c>
      <c r="F571" s="3">
        <v>22</v>
      </c>
      <c r="G571" s="3" t="str">
        <f t="shared" si="51"/>
        <v>Evening</v>
      </c>
      <c r="H571" s="3" t="b">
        <v>0</v>
      </c>
      <c r="I571" s="3" t="str">
        <f t="shared" si="49"/>
        <v>Working day</v>
      </c>
      <c r="J571" s="3">
        <v>2</v>
      </c>
      <c r="K571" s="3" t="str">
        <f t="shared" si="52"/>
        <v>Wednesday</v>
      </c>
      <c r="L571" s="3">
        <v>1</v>
      </c>
      <c r="M571" s="3" t="str">
        <f t="shared" si="53"/>
        <v>Nice weather</v>
      </c>
      <c r="N571" s="3">
        <v>0.22</v>
      </c>
      <c r="O571">
        <f t="shared" si="54"/>
        <v>22</v>
      </c>
    </row>
    <row r="572" spans="1:15" ht="13.2" x14ac:dyDescent="0.25">
      <c r="A572" s="3">
        <v>571</v>
      </c>
      <c r="B572" s="4">
        <v>40568</v>
      </c>
      <c r="C572" s="3">
        <v>1</v>
      </c>
      <c r="D572" s="3">
        <f t="shared" si="50"/>
        <v>2011</v>
      </c>
      <c r="E572" s="3">
        <v>1</v>
      </c>
      <c r="F572" s="3">
        <v>23</v>
      </c>
      <c r="G572" s="3" t="str">
        <f t="shared" si="51"/>
        <v>Evening</v>
      </c>
      <c r="H572" s="3" t="b">
        <v>0</v>
      </c>
      <c r="I572" s="3" t="str">
        <f t="shared" si="49"/>
        <v>Working day</v>
      </c>
      <c r="J572" s="3">
        <v>2</v>
      </c>
      <c r="K572" s="3" t="str">
        <f t="shared" si="52"/>
        <v>Wednesday</v>
      </c>
      <c r="L572" s="3">
        <v>2</v>
      </c>
      <c r="M572" s="3" t="str">
        <f t="shared" si="53"/>
        <v>Mild Cloudy</v>
      </c>
      <c r="N572" s="3">
        <v>0.22</v>
      </c>
      <c r="O572">
        <f t="shared" si="54"/>
        <v>22</v>
      </c>
    </row>
    <row r="573" spans="1:15" ht="13.2" x14ac:dyDescent="0.25">
      <c r="A573" s="3">
        <v>572</v>
      </c>
      <c r="B573" s="4">
        <v>40569</v>
      </c>
      <c r="C573" s="3">
        <v>1</v>
      </c>
      <c r="D573" s="3">
        <f t="shared" si="50"/>
        <v>2011</v>
      </c>
      <c r="E573" s="3">
        <v>1</v>
      </c>
      <c r="F573" s="3">
        <v>0</v>
      </c>
      <c r="G573" s="3" t="str">
        <f t="shared" si="51"/>
        <v>Night</v>
      </c>
      <c r="H573" s="3" t="b">
        <v>0</v>
      </c>
      <c r="I573" s="3" t="str">
        <f t="shared" si="49"/>
        <v>Working day</v>
      </c>
      <c r="J573" s="3">
        <v>3</v>
      </c>
      <c r="K573" s="3" t="str">
        <f t="shared" si="52"/>
        <v>Thursday</v>
      </c>
      <c r="L573" s="3">
        <v>2</v>
      </c>
      <c r="M573" s="3" t="str">
        <f t="shared" si="53"/>
        <v>Mild Cloudy</v>
      </c>
      <c r="N573" s="3">
        <v>0.22</v>
      </c>
      <c r="O573">
        <f t="shared" si="54"/>
        <v>22</v>
      </c>
    </row>
    <row r="574" spans="1:15" ht="13.2" x14ac:dyDescent="0.25">
      <c r="A574" s="3">
        <v>573</v>
      </c>
      <c r="B574" s="4">
        <v>40569</v>
      </c>
      <c r="C574" s="3">
        <v>1</v>
      </c>
      <c r="D574" s="3">
        <f t="shared" si="50"/>
        <v>2011</v>
      </c>
      <c r="E574" s="3">
        <v>1</v>
      </c>
      <c r="F574" s="3">
        <v>1</v>
      </c>
      <c r="G574" s="3" t="str">
        <f t="shared" si="51"/>
        <v>Night</v>
      </c>
      <c r="H574" s="3" t="b">
        <v>0</v>
      </c>
      <c r="I574" s="3" t="str">
        <f t="shared" si="49"/>
        <v>Working day</v>
      </c>
      <c r="J574" s="3">
        <v>3</v>
      </c>
      <c r="K574" s="3" t="str">
        <f t="shared" si="52"/>
        <v>Thursday</v>
      </c>
      <c r="L574" s="3">
        <v>2</v>
      </c>
      <c r="M574" s="3" t="str">
        <f t="shared" si="53"/>
        <v>Mild Cloudy</v>
      </c>
      <c r="N574" s="3">
        <v>0.24</v>
      </c>
      <c r="O574">
        <f t="shared" si="54"/>
        <v>24</v>
      </c>
    </row>
    <row r="575" spans="1:15" ht="13.2" x14ac:dyDescent="0.25">
      <c r="A575" s="3">
        <v>574</v>
      </c>
      <c r="B575" s="4">
        <v>40569</v>
      </c>
      <c r="C575" s="3">
        <v>1</v>
      </c>
      <c r="D575" s="3">
        <f t="shared" si="50"/>
        <v>2011</v>
      </c>
      <c r="E575" s="3">
        <v>1</v>
      </c>
      <c r="F575" s="3">
        <v>2</v>
      </c>
      <c r="G575" s="3" t="str">
        <f t="shared" si="51"/>
        <v>Night</v>
      </c>
      <c r="H575" s="3" t="b">
        <v>0</v>
      </c>
      <c r="I575" s="3" t="str">
        <f t="shared" si="49"/>
        <v>Working day</v>
      </c>
      <c r="J575" s="3">
        <v>3</v>
      </c>
      <c r="K575" s="3" t="str">
        <f t="shared" si="52"/>
        <v>Thursday</v>
      </c>
      <c r="L575" s="3">
        <v>3</v>
      </c>
      <c r="M575" s="3" t="str">
        <f t="shared" si="53"/>
        <v>Dark Cloudy</v>
      </c>
      <c r="N575" s="3">
        <v>0.22</v>
      </c>
      <c r="O575">
        <f t="shared" si="54"/>
        <v>22</v>
      </c>
    </row>
    <row r="576" spans="1:15" ht="13.2" x14ac:dyDescent="0.25">
      <c r="A576" s="3">
        <v>575</v>
      </c>
      <c r="B576" s="4">
        <v>40569</v>
      </c>
      <c r="C576" s="3">
        <v>1</v>
      </c>
      <c r="D576" s="3">
        <f t="shared" si="50"/>
        <v>2011</v>
      </c>
      <c r="E576" s="3">
        <v>1</v>
      </c>
      <c r="F576" s="3">
        <v>5</v>
      </c>
      <c r="G576" s="3" t="str">
        <f t="shared" si="51"/>
        <v>Night</v>
      </c>
      <c r="H576" s="3" t="b">
        <v>0</v>
      </c>
      <c r="I576" s="3" t="str">
        <f t="shared" si="49"/>
        <v>Working day</v>
      </c>
      <c r="J576" s="3">
        <v>3</v>
      </c>
      <c r="K576" s="3" t="str">
        <f t="shared" si="52"/>
        <v>Thursday</v>
      </c>
      <c r="L576" s="3">
        <v>3</v>
      </c>
      <c r="M576" s="3" t="str">
        <f t="shared" si="53"/>
        <v>Dark Cloudy</v>
      </c>
      <c r="N576" s="3">
        <v>0.2</v>
      </c>
      <c r="O576">
        <f t="shared" si="54"/>
        <v>20</v>
      </c>
    </row>
    <row r="577" spans="1:15" ht="13.2" x14ac:dyDescent="0.25">
      <c r="A577" s="3">
        <v>576</v>
      </c>
      <c r="B577" s="4">
        <v>40569</v>
      </c>
      <c r="C577" s="3">
        <v>1</v>
      </c>
      <c r="D577" s="3">
        <f t="shared" si="50"/>
        <v>2011</v>
      </c>
      <c r="E577" s="3">
        <v>1</v>
      </c>
      <c r="F577" s="3">
        <v>6</v>
      </c>
      <c r="G577" s="3" t="str">
        <f t="shared" si="51"/>
        <v>Morning</v>
      </c>
      <c r="H577" s="3" t="b">
        <v>0</v>
      </c>
      <c r="I577" s="3" t="str">
        <f t="shared" si="49"/>
        <v>Working day</v>
      </c>
      <c r="J577" s="3">
        <v>3</v>
      </c>
      <c r="K577" s="3" t="str">
        <f t="shared" si="52"/>
        <v>Thursday</v>
      </c>
      <c r="L577" s="3">
        <v>3</v>
      </c>
      <c r="M577" s="3" t="str">
        <f t="shared" si="53"/>
        <v>Dark Cloudy</v>
      </c>
      <c r="N577" s="3">
        <v>0.2</v>
      </c>
      <c r="O577">
        <f t="shared" si="54"/>
        <v>20</v>
      </c>
    </row>
    <row r="578" spans="1:15" ht="13.2" x14ac:dyDescent="0.25">
      <c r="A578" s="3">
        <v>577</v>
      </c>
      <c r="B578" s="4">
        <v>40569</v>
      </c>
      <c r="C578" s="3">
        <v>1</v>
      </c>
      <c r="D578" s="3">
        <f t="shared" si="50"/>
        <v>2011</v>
      </c>
      <c r="E578" s="3">
        <v>1</v>
      </c>
      <c r="F578" s="3">
        <v>7</v>
      </c>
      <c r="G578" s="3" t="str">
        <f t="shared" si="51"/>
        <v>Morning</v>
      </c>
      <c r="H578" s="3" t="b">
        <v>0</v>
      </c>
      <c r="I578" s="3" t="str">
        <f t="shared" ref="I578:I611" si="55">IF(H578=TRUE,"Holiday","Working day")</f>
        <v>Working day</v>
      </c>
      <c r="J578" s="3">
        <v>3</v>
      </c>
      <c r="K578" s="3" t="str">
        <f t="shared" si="52"/>
        <v>Thursday</v>
      </c>
      <c r="L578" s="3">
        <v>3</v>
      </c>
      <c r="M578" s="3" t="str">
        <f t="shared" si="53"/>
        <v>Dark Cloudy</v>
      </c>
      <c r="N578" s="3">
        <v>0.22</v>
      </c>
      <c r="O578">
        <f t="shared" si="54"/>
        <v>22</v>
      </c>
    </row>
    <row r="579" spans="1:15" ht="13.2" x14ac:dyDescent="0.25">
      <c r="A579" s="3">
        <v>578</v>
      </c>
      <c r="B579" s="4">
        <v>40569</v>
      </c>
      <c r="C579" s="3">
        <v>1</v>
      </c>
      <c r="D579" s="3">
        <f t="shared" ref="D579:D611" si="56">YEAR(B579)</f>
        <v>2011</v>
      </c>
      <c r="E579" s="3">
        <v>1</v>
      </c>
      <c r="F579" s="3">
        <v>8</v>
      </c>
      <c r="G579" s="3" t="str">
        <f t="shared" ref="G579:G611" si="57">IF(AND(F579&gt;=0,F579&lt;6),"Night",IF(AND(F579&gt;=6,F579&lt;12),"Morning",IF(AND(F579&lt;18),"Afternoon","Evening")))</f>
        <v>Morning</v>
      </c>
      <c r="H579" s="3" t="b">
        <v>0</v>
      </c>
      <c r="I579" s="3" t="str">
        <f t="shared" si="55"/>
        <v>Working day</v>
      </c>
      <c r="J579" s="3">
        <v>3</v>
      </c>
      <c r="K579" s="3" t="str">
        <f t="shared" ref="K579:K611" si="58">CHOOSE(J579+1,"Monday","Tuesday","Wednesday","Thursday","Friday","Saturday","Sunday")</f>
        <v>Thursday</v>
      </c>
      <c r="L579" s="3">
        <v>3</v>
      </c>
      <c r="M579" s="3" t="str">
        <f t="shared" ref="M579:M611" si="59">IF(L579=1,"Nice weather", IF(L579=2,"Mild Cloudy", IF(L579=3,"Dark Cloudy", IF(L579=4,"Thunderstrome","unknown"))))</f>
        <v>Dark Cloudy</v>
      </c>
      <c r="N579" s="3">
        <v>0.22</v>
      </c>
      <c r="O579">
        <f t="shared" ref="O579:O611" si="60">N579*100</f>
        <v>22</v>
      </c>
    </row>
    <row r="580" spans="1:15" ht="13.2" x14ac:dyDescent="0.25">
      <c r="A580" s="3">
        <v>579</v>
      </c>
      <c r="B580" s="4">
        <v>40569</v>
      </c>
      <c r="C580" s="3">
        <v>1</v>
      </c>
      <c r="D580" s="3">
        <f t="shared" si="56"/>
        <v>2011</v>
      </c>
      <c r="E580" s="3">
        <v>1</v>
      </c>
      <c r="F580" s="3">
        <v>9</v>
      </c>
      <c r="G580" s="3" t="str">
        <f t="shared" si="57"/>
        <v>Morning</v>
      </c>
      <c r="H580" s="3" t="b">
        <v>0</v>
      </c>
      <c r="I580" s="3" t="str">
        <f t="shared" si="55"/>
        <v>Working day</v>
      </c>
      <c r="J580" s="3">
        <v>3</v>
      </c>
      <c r="K580" s="3" t="str">
        <f t="shared" si="58"/>
        <v>Thursday</v>
      </c>
      <c r="L580" s="3">
        <v>3</v>
      </c>
      <c r="M580" s="3" t="str">
        <f t="shared" si="59"/>
        <v>Dark Cloudy</v>
      </c>
      <c r="N580" s="3">
        <v>0.22</v>
      </c>
      <c r="O580">
        <f t="shared" si="60"/>
        <v>22</v>
      </c>
    </row>
    <row r="581" spans="1:15" ht="13.2" x14ac:dyDescent="0.25">
      <c r="A581" s="3">
        <v>580</v>
      </c>
      <c r="B581" s="4">
        <v>40569</v>
      </c>
      <c r="C581" s="3">
        <v>1</v>
      </c>
      <c r="D581" s="3">
        <f t="shared" si="56"/>
        <v>2011</v>
      </c>
      <c r="E581" s="3">
        <v>1</v>
      </c>
      <c r="F581" s="3">
        <v>10</v>
      </c>
      <c r="G581" s="3" t="str">
        <f t="shared" si="57"/>
        <v>Morning</v>
      </c>
      <c r="H581" s="3" t="b">
        <v>0</v>
      </c>
      <c r="I581" s="3" t="str">
        <f t="shared" si="55"/>
        <v>Working day</v>
      </c>
      <c r="J581" s="3">
        <v>3</v>
      </c>
      <c r="K581" s="3" t="str">
        <f t="shared" si="58"/>
        <v>Thursday</v>
      </c>
      <c r="L581" s="3">
        <v>3</v>
      </c>
      <c r="M581" s="3" t="str">
        <f t="shared" si="59"/>
        <v>Dark Cloudy</v>
      </c>
      <c r="N581" s="3">
        <v>0.22</v>
      </c>
      <c r="O581">
        <f t="shared" si="60"/>
        <v>22</v>
      </c>
    </row>
    <row r="582" spans="1:15" ht="13.2" x14ac:dyDescent="0.25">
      <c r="A582" s="3">
        <v>581</v>
      </c>
      <c r="B582" s="4">
        <v>40569</v>
      </c>
      <c r="C582" s="3">
        <v>1</v>
      </c>
      <c r="D582" s="3">
        <f t="shared" si="56"/>
        <v>2011</v>
      </c>
      <c r="E582" s="3">
        <v>1</v>
      </c>
      <c r="F582" s="3">
        <v>11</v>
      </c>
      <c r="G582" s="3" t="str">
        <f t="shared" si="57"/>
        <v>Morning</v>
      </c>
      <c r="H582" s="3" t="b">
        <v>0</v>
      </c>
      <c r="I582" s="3" t="str">
        <f t="shared" si="55"/>
        <v>Working day</v>
      </c>
      <c r="J582" s="3">
        <v>3</v>
      </c>
      <c r="K582" s="3" t="str">
        <f t="shared" si="58"/>
        <v>Thursday</v>
      </c>
      <c r="L582" s="3">
        <v>3</v>
      </c>
      <c r="M582" s="3" t="str">
        <f t="shared" si="59"/>
        <v>Dark Cloudy</v>
      </c>
      <c r="N582" s="3">
        <v>0.22</v>
      </c>
      <c r="O582">
        <f t="shared" si="60"/>
        <v>22</v>
      </c>
    </row>
    <row r="583" spans="1:15" ht="13.2" x14ac:dyDescent="0.25">
      <c r="A583" s="3">
        <v>582</v>
      </c>
      <c r="B583" s="4">
        <v>40569</v>
      </c>
      <c r="C583" s="3">
        <v>1</v>
      </c>
      <c r="D583" s="3">
        <f t="shared" si="56"/>
        <v>2011</v>
      </c>
      <c r="E583" s="3">
        <v>1</v>
      </c>
      <c r="F583" s="3">
        <v>12</v>
      </c>
      <c r="G583" s="3" t="str">
        <f t="shared" si="57"/>
        <v>Afternoon</v>
      </c>
      <c r="H583" s="3" t="b">
        <v>0</v>
      </c>
      <c r="I583" s="3" t="str">
        <f t="shared" si="55"/>
        <v>Working day</v>
      </c>
      <c r="J583" s="3">
        <v>3</v>
      </c>
      <c r="K583" s="3" t="str">
        <f t="shared" si="58"/>
        <v>Thursday</v>
      </c>
      <c r="L583" s="3">
        <v>3</v>
      </c>
      <c r="M583" s="3" t="str">
        <f t="shared" si="59"/>
        <v>Dark Cloudy</v>
      </c>
      <c r="N583" s="3">
        <v>0.22</v>
      </c>
      <c r="O583">
        <f t="shared" si="60"/>
        <v>22</v>
      </c>
    </row>
    <row r="584" spans="1:15" ht="13.2" x14ac:dyDescent="0.25">
      <c r="A584" s="3">
        <v>583</v>
      </c>
      <c r="B584" s="4">
        <v>40569</v>
      </c>
      <c r="C584" s="3">
        <v>1</v>
      </c>
      <c r="D584" s="3">
        <f t="shared" si="56"/>
        <v>2011</v>
      </c>
      <c r="E584" s="3">
        <v>1</v>
      </c>
      <c r="F584" s="3">
        <v>13</v>
      </c>
      <c r="G584" s="3" t="str">
        <f t="shared" si="57"/>
        <v>Afternoon</v>
      </c>
      <c r="H584" s="3" t="b">
        <v>0</v>
      </c>
      <c r="I584" s="3" t="str">
        <f t="shared" si="55"/>
        <v>Working day</v>
      </c>
      <c r="J584" s="3">
        <v>3</v>
      </c>
      <c r="K584" s="3" t="str">
        <f t="shared" si="58"/>
        <v>Thursday</v>
      </c>
      <c r="L584" s="3">
        <v>3</v>
      </c>
      <c r="M584" s="3" t="str">
        <f t="shared" si="59"/>
        <v>Dark Cloudy</v>
      </c>
      <c r="N584" s="3">
        <v>0.22</v>
      </c>
      <c r="O584">
        <f t="shared" si="60"/>
        <v>22</v>
      </c>
    </row>
    <row r="585" spans="1:15" ht="13.2" x14ac:dyDescent="0.25">
      <c r="A585" s="3">
        <v>584</v>
      </c>
      <c r="B585" s="4">
        <v>40569</v>
      </c>
      <c r="C585" s="3">
        <v>1</v>
      </c>
      <c r="D585" s="3">
        <f t="shared" si="56"/>
        <v>2011</v>
      </c>
      <c r="E585" s="3">
        <v>1</v>
      </c>
      <c r="F585" s="3">
        <v>14</v>
      </c>
      <c r="G585" s="3" t="str">
        <f t="shared" si="57"/>
        <v>Afternoon</v>
      </c>
      <c r="H585" s="3" t="b">
        <v>0</v>
      </c>
      <c r="I585" s="3" t="str">
        <f t="shared" si="55"/>
        <v>Working day</v>
      </c>
      <c r="J585" s="3">
        <v>3</v>
      </c>
      <c r="K585" s="3" t="str">
        <f t="shared" si="58"/>
        <v>Thursday</v>
      </c>
      <c r="L585" s="3">
        <v>3</v>
      </c>
      <c r="M585" s="3" t="str">
        <f t="shared" si="59"/>
        <v>Dark Cloudy</v>
      </c>
      <c r="N585" s="3">
        <v>0.22</v>
      </c>
      <c r="O585">
        <f t="shared" si="60"/>
        <v>22</v>
      </c>
    </row>
    <row r="586" spans="1:15" ht="13.2" x14ac:dyDescent="0.25">
      <c r="A586" s="3">
        <v>585</v>
      </c>
      <c r="B586" s="4">
        <v>40569</v>
      </c>
      <c r="C586" s="3">
        <v>1</v>
      </c>
      <c r="D586" s="3">
        <f t="shared" si="56"/>
        <v>2011</v>
      </c>
      <c r="E586" s="3">
        <v>1</v>
      </c>
      <c r="F586" s="3">
        <v>15</v>
      </c>
      <c r="G586" s="3" t="str">
        <f t="shared" si="57"/>
        <v>Afternoon</v>
      </c>
      <c r="H586" s="3" t="b">
        <v>0</v>
      </c>
      <c r="I586" s="3" t="str">
        <f t="shared" si="55"/>
        <v>Working day</v>
      </c>
      <c r="J586" s="3">
        <v>3</v>
      </c>
      <c r="K586" s="3" t="str">
        <f t="shared" si="58"/>
        <v>Thursday</v>
      </c>
      <c r="L586" s="3">
        <v>3</v>
      </c>
      <c r="M586" s="3" t="str">
        <f t="shared" si="59"/>
        <v>Dark Cloudy</v>
      </c>
      <c r="N586" s="3">
        <v>0.22</v>
      </c>
      <c r="O586">
        <f t="shared" si="60"/>
        <v>22</v>
      </c>
    </row>
    <row r="587" spans="1:15" ht="13.2" x14ac:dyDescent="0.25">
      <c r="A587" s="3">
        <v>586</v>
      </c>
      <c r="B587" s="4">
        <v>40569</v>
      </c>
      <c r="C587" s="3">
        <v>1</v>
      </c>
      <c r="D587" s="3">
        <f t="shared" si="56"/>
        <v>2011</v>
      </c>
      <c r="E587" s="3">
        <v>1</v>
      </c>
      <c r="F587" s="3">
        <v>16</v>
      </c>
      <c r="G587" s="3" t="str">
        <f t="shared" si="57"/>
        <v>Afternoon</v>
      </c>
      <c r="H587" s="3" t="b">
        <v>0</v>
      </c>
      <c r="I587" s="3" t="str">
        <f t="shared" si="55"/>
        <v>Working day</v>
      </c>
      <c r="J587" s="3">
        <v>3</v>
      </c>
      <c r="K587" s="3" t="str">
        <f t="shared" si="58"/>
        <v>Thursday</v>
      </c>
      <c r="L587" s="3">
        <v>4</v>
      </c>
      <c r="M587" s="3" t="str">
        <f t="shared" si="59"/>
        <v>Thunderstrome</v>
      </c>
      <c r="N587" s="3">
        <v>0.22</v>
      </c>
      <c r="O587">
        <f t="shared" si="60"/>
        <v>22</v>
      </c>
    </row>
    <row r="588" spans="1:15" ht="13.2" x14ac:dyDescent="0.25">
      <c r="A588" s="3">
        <v>587</v>
      </c>
      <c r="B588" s="4">
        <v>40569</v>
      </c>
      <c r="C588" s="3">
        <v>1</v>
      </c>
      <c r="D588" s="3">
        <f t="shared" si="56"/>
        <v>2011</v>
      </c>
      <c r="E588" s="3">
        <v>1</v>
      </c>
      <c r="F588" s="3">
        <v>17</v>
      </c>
      <c r="G588" s="3" t="str">
        <f t="shared" si="57"/>
        <v>Afternoon</v>
      </c>
      <c r="H588" s="3" t="b">
        <v>0</v>
      </c>
      <c r="I588" s="3" t="str">
        <f t="shared" si="55"/>
        <v>Working day</v>
      </c>
      <c r="J588" s="3">
        <v>3</v>
      </c>
      <c r="K588" s="3" t="str">
        <f t="shared" si="58"/>
        <v>Thursday</v>
      </c>
      <c r="L588" s="3">
        <v>3</v>
      </c>
      <c r="M588" s="3" t="str">
        <f t="shared" si="59"/>
        <v>Dark Cloudy</v>
      </c>
      <c r="N588" s="3">
        <v>0.2</v>
      </c>
      <c r="O588">
        <f t="shared" si="60"/>
        <v>20</v>
      </c>
    </row>
    <row r="589" spans="1:15" ht="13.2" x14ac:dyDescent="0.25">
      <c r="A589" s="3">
        <v>588</v>
      </c>
      <c r="B589" s="4">
        <v>40570</v>
      </c>
      <c r="C589" s="3">
        <v>1</v>
      </c>
      <c r="D589" s="3">
        <f t="shared" si="56"/>
        <v>2011</v>
      </c>
      <c r="E589" s="3">
        <v>1</v>
      </c>
      <c r="F589" s="3">
        <v>16</v>
      </c>
      <c r="G589" s="3" t="str">
        <f t="shared" si="57"/>
        <v>Afternoon</v>
      </c>
      <c r="H589" s="3" t="b">
        <v>0</v>
      </c>
      <c r="I589" s="3" t="str">
        <f t="shared" si="55"/>
        <v>Working day</v>
      </c>
      <c r="J589" s="3">
        <v>4</v>
      </c>
      <c r="K589" s="3" t="str">
        <f t="shared" si="58"/>
        <v>Friday</v>
      </c>
      <c r="L589" s="3">
        <v>1</v>
      </c>
      <c r="M589" s="3" t="str">
        <f t="shared" si="59"/>
        <v>Nice weather</v>
      </c>
      <c r="N589" s="3">
        <v>0.22</v>
      </c>
      <c r="O589">
        <f t="shared" si="60"/>
        <v>22</v>
      </c>
    </row>
    <row r="590" spans="1:15" ht="13.2" x14ac:dyDescent="0.25">
      <c r="A590" s="3">
        <v>589</v>
      </c>
      <c r="B590" s="4">
        <v>40570</v>
      </c>
      <c r="C590" s="3">
        <v>1</v>
      </c>
      <c r="D590" s="3">
        <f t="shared" si="56"/>
        <v>2011</v>
      </c>
      <c r="E590" s="3">
        <v>1</v>
      </c>
      <c r="F590" s="3">
        <v>17</v>
      </c>
      <c r="G590" s="3" t="str">
        <f t="shared" si="57"/>
        <v>Afternoon</v>
      </c>
      <c r="H590" s="3" t="b">
        <v>0</v>
      </c>
      <c r="I590" s="3" t="str">
        <f t="shared" si="55"/>
        <v>Working day</v>
      </c>
      <c r="J590" s="3">
        <v>4</v>
      </c>
      <c r="K590" s="3" t="str">
        <f t="shared" si="58"/>
        <v>Friday</v>
      </c>
      <c r="L590" s="3">
        <v>1</v>
      </c>
      <c r="M590" s="3" t="str">
        <f t="shared" si="59"/>
        <v>Nice weather</v>
      </c>
      <c r="N590" s="3">
        <v>0.22</v>
      </c>
      <c r="O590">
        <f t="shared" si="60"/>
        <v>22</v>
      </c>
    </row>
    <row r="591" spans="1:15" ht="13.2" x14ac:dyDescent="0.25">
      <c r="A591" s="3">
        <v>590</v>
      </c>
      <c r="B591" s="4">
        <v>40570</v>
      </c>
      <c r="C591" s="3">
        <v>1</v>
      </c>
      <c r="D591" s="3">
        <f t="shared" si="56"/>
        <v>2011</v>
      </c>
      <c r="E591" s="3">
        <v>1</v>
      </c>
      <c r="F591" s="3">
        <v>18</v>
      </c>
      <c r="G591" s="3" t="str">
        <f t="shared" si="57"/>
        <v>Evening</v>
      </c>
      <c r="H591" s="3" t="b">
        <v>0</v>
      </c>
      <c r="I591" s="3" t="str">
        <f t="shared" si="55"/>
        <v>Working day</v>
      </c>
      <c r="J591" s="3">
        <v>4</v>
      </c>
      <c r="K591" s="3" t="str">
        <f t="shared" si="58"/>
        <v>Friday</v>
      </c>
      <c r="L591" s="3">
        <v>1</v>
      </c>
      <c r="M591" s="3" t="str">
        <f t="shared" si="59"/>
        <v>Nice weather</v>
      </c>
      <c r="N591" s="3">
        <v>0.2</v>
      </c>
      <c r="O591">
        <f t="shared" si="60"/>
        <v>20</v>
      </c>
    </row>
    <row r="592" spans="1:15" ht="13.2" x14ac:dyDescent="0.25">
      <c r="A592" s="3">
        <v>591</v>
      </c>
      <c r="B592" s="4">
        <v>40570</v>
      </c>
      <c r="C592" s="3">
        <v>1</v>
      </c>
      <c r="D592" s="3">
        <f t="shared" si="56"/>
        <v>2011</v>
      </c>
      <c r="E592" s="3">
        <v>1</v>
      </c>
      <c r="F592" s="3">
        <v>19</v>
      </c>
      <c r="G592" s="3" t="str">
        <f t="shared" si="57"/>
        <v>Evening</v>
      </c>
      <c r="H592" s="3" t="b">
        <v>0</v>
      </c>
      <c r="I592" s="3" t="str">
        <f t="shared" si="55"/>
        <v>Working day</v>
      </c>
      <c r="J592" s="3">
        <v>4</v>
      </c>
      <c r="K592" s="3" t="str">
        <f t="shared" si="58"/>
        <v>Friday</v>
      </c>
      <c r="L592" s="3">
        <v>1</v>
      </c>
      <c r="M592" s="3" t="str">
        <f t="shared" si="59"/>
        <v>Nice weather</v>
      </c>
      <c r="N592" s="3">
        <v>0.2</v>
      </c>
      <c r="O592">
        <f t="shared" si="60"/>
        <v>20</v>
      </c>
    </row>
    <row r="593" spans="1:15" ht="13.2" x14ac:dyDescent="0.25">
      <c r="A593" s="3">
        <v>592</v>
      </c>
      <c r="B593" s="4">
        <v>40570</v>
      </c>
      <c r="C593" s="3">
        <v>1</v>
      </c>
      <c r="D593" s="3">
        <f t="shared" si="56"/>
        <v>2011</v>
      </c>
      <c r="E593" s="3">
        <v>1</v>
      </c>
      <c r="F593" s="3">
        <v>20</v>
      </c>
      <c r="G593" s="3" t="str">
        <f t="shared" si="57"/>
        <v>Evening</v>
      </c>
      <c r="H593" s="3" t="b">
        <v>0</v>
      </c>
      <c r="I593" s="3" t="str">
        <f t="shared" si="55"/>
        <v>Working day</v>
      </c>
      <c r="J593" s="3">
        <v>4</v>
      </c>
      <c r="K593" s="3" t="str">
        <f t="shared" si="58"/>
        <v>Friday</v>
      </c>
      <c r="L593" s="3">
        <v>1</v>
      </c>
      <c r="M593" s="3" t="str">
        <f t="shared" si="59"/>
        <v>Nice weather</v>
      </c>
      <c r="N593" s="3">
        <v>0.18</v>
      </c>
      <c r="O593">
        <f t="shared" si="60"/>
        <v>18</v>
      </c>
    </row>
    <row r="594" spans="1:15" ht="13.2" x14ac:dyDescent="0.25">
      <c r="A594" s="3">
        <v>593</v>
      </c>
      <c r="B594" s="4">
        <v>40570</v>
      </c>
      <c r="C594" s="3">
        <v>1</v>
      </c>
      <c r="D594" s="3">
        <f t="shared" si="56"/>
        <v>2011</v>
      </c>
      <c r="E594" s="3">
        <v>1</v>
      </c>
      <c r="F594" s="3">
        <v>21</v>
      </c>
      <c r="G594" s="3" t="str">
        <f t="shared" si="57"/>
        <v>Evening</v>
      </c>
      <c r="H594" s="3" t="b">
        <v>0</v>
      </c>
      <c r="I594" s="3" t="str">
        <f t="shared" si="55"/>
        <v>Working day</v>
      </c>
      <c r="J594" s="3">
        <v>4</v>
      </c>
      <c r="K594" s="3" t="str">
        <f t="shared" si="58"/>
        <v>Friday</v>
      </c>
      <c r="L594" s="3">
        <v>1</v>
      </c>
      <c r="M594" s="3" t="str">
        <f t="shared" si="59"/>
        <v>Nice weather</v>
      </c>
      <c r="N594" s="3">
        <v>0.18</v>
      </c>
      <c r="O594">
        <f t="shared" si="60"/>
        <v>18</v>
      </c>
    </row>
    <row r="595" spans="1:15" ht="13.2" x14ac:dyDescent="0.25">
      <c r="A595" s="3">
        <v>594</v>
      </c>
      <c r="B595" s="4">
        <v>40570</v>
      </c>
      <c r="C595" s="3">
        <v>1</v>
      </c>
      <c r="D595" s="3">
        <f t="shared" si="56"/>
        <v>2011</v>
      </c>
      <c r="E595" s="3">
        <v>1</v>
      </c>
      <c r="F595" s="3">
        <v>22</v>
      </c>
      <c r="G595" s="3" t="str">
        <f t="shared" si="57"/>
        <v>Evening</v>
      </c>
      <c r="H595" s="3" t="b">
        <v>0</v>
      </c>
      <c r="I595" s="3" t="str">
        <f t="shared" si="55"/>
        <v>Working day</v>
      </c>
      <c r="J595" s="3">
        <v>4</v>
      </c>
      <c r="K595" s="3" t="str">
        <f t="shared" si="58"/>
        <v>Friday</v>
      </c>
      <c r="L595" s="3">
        <v>1</v>
      </c>
      <c r="M595" s="3" t="str">
        <f t="shared" si="59"/>
        <v>Nice weather</v>
      </c>
      <c r="N595" s="3">
        <v>0.18</v>
      </c>
      <c r="O595">
        <f t="shared" si="60"/>
        <v>18</v>
      </c>
    </row>
    <row r="596" spans="1:15" ht="13.2" x14ac:dyDescent="0.25">
      <c r="A596" s="3">
        <v>595</v>
      </c>
      <c r="B596" s="4">
        <v>40570</v>
      </c>
      <c r="C596" s="3">
        <v>1</v>
      </c>
      <c r="D596" s="3">
        <f t="shared" si="56"/>
        <v>2011</v>
      </c>
      <c r="E596" s="3">
        <v>1</v>
      </c>
      <c r="F596" s="3">
        <v>23</v>
      </c>
      <c r="G596" s="3" t="str">
        <f t="shared" si="57"/>
        <v>Evening</v>
      </c>
      <c r="H596" s="3" t="b">
        <v>0</v>
      </c>
      <c r="I596" s="3" t="str">
        <f t="shared" si="55"/>
        <v>Working day</v>
      </c>
      <c r="J596" s="3">
        <v>4</v>
      </c>
      <c r="K596" s="3" t="str">
        <f t="shared" si="58"/>
        <v>Friday</v>
      </c>
      <c r="L596" s="3">
        <v>1</v>
      </c>
      <c r="M596" s="3" t="str">
        <f t="shared" si="59"/>
        <v>Nice weather</v>
      </c>
      <c r="N596" s="3">
        <v>0.18</v>
      </c>
      <c r="O596">
        <f t="shared" si="60"/>
        <v>18</v>
      </c>
    </row>
    <row r="597" spans="1:15" ht="13.2" x14ac:dyDescent="0.25">
      <c r="A597" s="3">
        <v>596</v>
      </c>
      <c r="B597" s="4">
        <v>40571</v>
      </c>
      <c r="C597" s="3">
        <v>1</v>
      </c>
      <c r="D597" s="3">
        <f t="shared" si="56"/>
        <v>2011</v>
      </c>
      <c r="E597" s="3">
        <v>1</v>
      </c>
      <c r="F597" s="3">
        <v>0</v>
      </c>
      <c r="G597" s="3" t="str">
        <f t="shared" si="57"/>
        <v>Night</v>
      </c>
      <c r="H597" s="3" t="b">
        <v>0</v>
      </c>
      <c r="I597" s="3" t="str">
        <f t="shared" si="55"/>
        <v>Working day</v>
      </c>
      <c r="J597" s="3">
        <v>5</v>
      </c>
      <c r="K597" s="3" t="str">
        <f t="shared" si="58"/>
        <v>Saturday</v>
      </c>
      <c r="L597" s="3">
        <v>2</v>
      </c>
      <c r="M597" s="3" t="str">
        <f t="shared" si="59"/>
        <v>Mild Cloudy</v>
      </c>
      <c r="N597" s="3">
        <v>0.2</v>
      </c>
      <c r="O597">
        <f t="shared" si="60"/>
        <v>20</v>
      </c>
    </row>
    <row r="598" spans="1:15" ht="13.2" x14ac:dyDescent="0.25">
      <c r="A598" s="3">
        <v>597</v>
      </c>
      <c r="B598" s="4">
        <v>40571</v>
      </c>
      <c r="C598" s="3">
        <v>1</v>
      </c>
      <c r="D598" s="3">
        <f t="shared" si="56"/>
        <v>2011</v>
      </c>
      <c r="E598" s="3">
        <v>1</v>
      </c>
      <c r="F598" s="3">
        <v>1</v>
      </c>
      <c r="G598" s="3" t="str">
        <f t="shared" si="57"/>
        <v>Night</v>
      </c>
      <c r="H598" s="3" t="b">
        <v>0</v>
      </c>
      <c r="I598" s="3" t="str">
        <f t="shared" si="55"/>
        <v>Working day</v>
      </c>
      <c r="J598" s="3">
        <v>5</v>
      </c>
      <c r="K598" s="3" t="str">
        <f t="shared" si="58"/>
        <v>Saturday</v>
      </c>
      <c r="L598" s="3">
        <v>2</v>
      </c>
      <c r="M598" s="3" t="str">
        <f t="shared" si="59"/>
        <v>Mild Cloudy</v>
      </c>
      <c r="N598" s="3">
        <v>0.2</v>
      </c>
      <c r="O598">
        <f t="shared" si="60"/>
        <v>20</v>
      </c>
    </row>
    <row r="599" spans="1:15" ht="13.2" x14ac:dyDescent="0.25">
      <c r="A599" s="3">
        <v>598</v>
      </c>
      <c r="B599" s="4">
        <v>40571</v>
      </c>
      <c r="C599" s="3">
        <v>1</v>
      </c>
      <c r="D599" s="3">
        <f t="shared" si="56"/>
        <v>2011</v>
      </c>
      <c r="E599" s="3">
        <v>1</v>
      </c>
      <c r="F599" s="3">
        <v>2</v>
      </c>
      <c r="G599" s="3" t="str">
        <f t="shared" si="57"/>
        <v>Night</v>
      </c>
      <c r="H599" s="3" t="b">
        <v>0</v>
      </c>
      <c r="I599" s="3" t="str">
        <f t="shared" si="55"/>
        <v>Working day</v>
      </c>
      <c r="J599" s="3">
        <v>5</v>
      </c>
      <c r="K599" s="3" t="str">
        <f t="shared" si="58"/>
        <v>Saturday</v>
      </c>
      <c r="L599" s="3">
        <v>2</v>
      </c>
      <c r="M599" s="3" t="str">
        <f t="shared" si="59"/>
        <v>Mild Cloudy</v>
      </c>
      <c r="N599" s="3">
        <v>0.2</v>
      </c>
      <c r="O599">
        <f t="shared" si="60"/>
        <v>20</v>
      </c>
    </row>
    <row r="600" spans="1:15" ht="13.2" x14ac:dyDescent="0.25">
      <c r="A600" s="3">
        <v>599</v>
      </c>
      <c r="B600" s="4">
        <v>40571</v>
      </c>
      <c r="C600" s="3">
        <v>1</v>
      </c>
      <c r="D600" s="3">
        <f t="shared" si="56"/>
        <v>2011</v>
      </c>
      <c r="E600" s="3">
        <v>1</v>
      </c>
      <c r="F600" s="3">
        <v>3</v>
      </c>
      <c r="G600" s="3" t="str">
        <f t="shared" si="57"/>
        <v>Night</v>
      </c>
      <c r="H600" s="3" t="b">
        <v>0</v>
      </c>
      <c r="I600" s="3" t="str">
        <f t="shared" si="55"/>
        <v>Working day</v>
      </c>
      <c r="J600" s="3">
        <v>5</v>
      </c>
      <c r="K600" s="3" t="str">
        <f t="shared" si="58"/>
        <v>Saturday</v>
      </c>
      <c r="L600" s="3">
        <v>2</v>
      </c>
      <c r="M600" s="3" t="str">
        <f t="shared" si="59"/>
        <v>Mild Cloudy</v>
      </c>
      <c r="N600" s="3">
        <v>0.2</v>
      </c>
      <c r="O600">
        <f t="shared" si="60"/>
        <v>20</v>
      </c>
    </row>
    <row r="601" spans="1:15" ht="13.2" x14ac:dyDescent="0.25">
      <c r="A601" s="3">
        <v>600</v>
      </c>
      <c r="B601" s="4">
        <v>40571</v>
      </c>
      <c r="C601" s="3">
        <v>1</v>
      </c>
      <c r="D601" s="3">
        <f t="shared" si="56"/>
        <v>2011</v>
      </c>
      <c r="E601" s="3">
        <v>1</v>
      </c>
      <c r="F601" s="3">
        <v>5</v>
      </c>
      <c r="G601" s="3" t="str">
        <f t="shared" si="57"/>
        <v>Night</v>
      </c>
      <c r="H601" s="3" t="b">
        <v>0</v>
      </c>
      <c r="I601" s="3" t="str">
        <f t="shared" si="55"/>
        <v>Working day</v>
      </c>
      <c r="J601" s="3">
        <v>5</v>
      </c>
      <c r="K601" s="3" t="str">
        <f t="shared" si="58"/>
        <v>Saturday</v>
      </c>
      <c r="L601" s="3">
        <v>2</v>
      </c>
      <c r="M601" s="3" t="str">
        <f t="shared" si="59"/>
        <v>Mild Cloudy</v>
      </c>
      <c r="N601" s="3">
        <v>0.18</v>
      </c>
      <c r="O601">
        <f t="shared" si="60"/>
        <v>18</v>
      </c>
    </row>
    <row r="602" spans="1:15" ht="13.2" x14ac:dyDescent="0.25">
      <c r="A602" s="3">
        <v>601</v>
      </c>
      <c r="B602" s="4">
        <v>40571</v>
      </c>
      <c r="C602" s="3">
        <v>1</v>
      </c>
      <c r="D602" s="3">
        <f t="shared" si="56"/>
        <v>2011</v>
      </c>
      <c r="E602" s="3">
        <v>1</v>
      </c>
      <c r="F602" s="3">
        <v>6</v>
      </c>
      <c r="G602" s="3" t="str">
        <f t="shared" si="57"/>
        <v>Morning</v>
      </c>
      <c r="H602" s="3" t="b">
        <v>0</v>
      </c>
      <c r="I602" s="3" t="str">
        <f t="shared" si="55"/>
        <v>Working day</v>
      </c>
      <c r="J602" s="3">
        <v>5</v>
      </c>
      <c r="K602" s="3" t="str">
        <f t="shared" si="58"/>
        <v>Saturday</v>
      </c>
      <c r="L602" s="3">
        <v>2</v>
      </c>
      <c r="M602" s="3" t="str">
        <f t="shared" si="59"/>
        <v>Mild Cloudy</v>
      </c>
      <c r="N602" s="3">
        <v>0.18</v>
      </c>
      <c r="O602">
        <f t="shared" si="60"/>
        <v>18</v>
      </c>
    </row>
    <row r="603" spans="1:15" ht="13.2" x14ac:dyDescent="0.25">
      <c r="A603" s="3">
        <v>602</v>
      </c>
      <c r="B603" s="4">
        <v>40571</v>
      </c>
      <c r="C603" s="3">
        <v>1</v>
      </c>
      <c r="D603" s="3">
        <f t="shared" si="56"/>
        <v>2011</v>
      </c>
      <c r="E603" s="3">
        <v>1</v>
      </c>
      <c r="F603" s="3">
        <v>7</v>
      </c>
      <c r="G603" s="3" t="str">
        <f t="shared" si="57"/>
        <v>Morning</v>
      </c>
      <c r="H603" s="3" t="b">
        <v>0</v>
      </c>
      <c r="I603" s="3" t="str">
        <f t="shared" si="55"/>
        <v>Working day</v>
      </c>
      <c r="J603" s="3">
        <v>5</v>
      </c>
      <c r="K603" s="3" t="str">
        <f t="shared" si="58"/>
        <v>Saturday</v>
      </c>
      <c r="L603" s="3">
        <v>2</v>
      </c>
      <c r="M603" s="3" t="str">
        <f t="shared" si="59"/>
        <v>Mild Cloudy</v>
      </c>
      <c r="N603" s="3">
        <v>0.16</v>
      </c>
      <c r="O603">
        <f t="shared" si="60"/>
        <v>16</v>
      </c>
    </row>
    <row r="604" spans="1:15" ht="13.2" x14ac:dyDescent="0.25">
      <c r="A604" s="3">
        <v>603</v>
      </c>
      <c r="B604" s="4">
        <v>40571</v>
      </c>
      <c r="C604" s="3">
        <v>1</v>
      </c>
      <c r="D604" s="3">
        <f t="shared" si="56"/>
        <v>2011</v>
      </c>
      <c r="E604" s="3">
        <v>1</v>
      </c>
      <c r="F604" s="3">
        <v>8</v>
      </c>
      <c r="G604" s="3" t="str">
        <f t="shared" si="57"/>
        <v>Morning</v>
      </c>
      <c r="H604" s="3" t="b">
        <v>0</v>
      </c>
      <c r="I604" s="3" t="str">
        <f t="shared" si="55"/>
        <v>Working day</v>
      </c>
      <c r="J604" s="3">
        <v>5</v>
      </c>
      <c r="K604" s="3" t="str">
        <f t="shared" si="58"/>
        <v>Saturday</v>
      </c>
      <c r="L604" s="3">
        <v>2</v>
      </c>
      <c r="M604" s="3" t="str">
        <f t="shared" si="59"/>
        <v>Mild Cloudy</v>
      </c>
      <c r="N604" s="3">
        <v>0.16</v>
      </c>
      <c r="O604">
        <f t="shared" si="60"/>
        <v>16</v>
      </c>
    </row>
    <row r="605" spans="1:15" ht="13.2" x14ac:dyDescent="0.25">
      <c r="A605" s="3">
        <v>604</v>
      </c>
      <c r="B605" s="4">
        <v>40571</v>
      </c>
      <c r="C605" s="3">
        <v>1</v>
      </c>
      <c r="D605" s="3">
        <f t="shared" si="56"/>
        <v>2011</v>
      </c>
      <c r="E605" s="3">
        <v>1</v>
      </c>
      <c r="F605" s="3">
        <v>9</v>
      </c>
      <c r="G605" s="3" t="str">
        <f t="shared" si="57"/>
        <v>Morning</v>
      </c>
      <c r="H605" s="3" t="b">
        <v>0</v>
      </c>
      <c r="I605" s="3" t="str">
        <f t="shared" si="55"/>
        <v>Working day</v>
      </c>
      <c r="J605" s="3">
        <v>5</v>
      </c>
      <c r="K605" s="3" t="str">
        <f t="shared" si="58"/>
        <v>Saturday</v>
      </c>
      <c r="L605" s="3">
        <v>3</v>
      </c>
      <c r="M605" s="3" t="str">
        <f t="shared" si="59"/>
        <v>Dark Cloudy</v>
      </c>
      <c r="N605" s="3">
        <v>0.18</v>
      </c>
      <c r="O605">
        <f t="shared" si="60"/>
        <v>18</v>
      </c>
    </row>
    <row r="606" spans="1:15" ht="13.2" x14ac:dyDescent="0.25">
      <c r="A606" s="3">
        <v>605</v>
      </c>
      <c r="B606" s="4">
        <v>40571</v>
      </c>
      <c r="C606" s="3">
        <v>1</v>
      </c>
      <c r="D606" s="3">
        <f t="shared" si="56"/>
        <v>2011</v>
      </c>
      <c r="E606" s="3">
        <v>1</v>
      </c>
      <c r="F606" s="3">
        <v>10</v>
      </c>
      <c r="G606" s="3" t="str">
        <f t="shared" si="57"/>
        <v>Morning</v>
      </c>
      <c r="H606" s="3" t="b">
        <v>0</v>
      </c>
      <c r="I606" s="3" t="str">
        <f t="shared" si="55"/>
        <v>Working day</v>
      </c>
      <c r="J606" s="3">
        <v>5</v>
      </c>
      <c r="K606" s="3" t="str">
        <f t="shared" si="58"/>
        <v>Saturday</v>
      </c>
      <c r="L606" s="3">
        <v>3</v>
      </c>
      <c r="M606" s="3" t="str">
        <f t="shared" si="59"/>
        <v>Dark Cloudy</v>
      </c>
      <c r="N606" s="3">
        <v>0.18</v>
      </c>
      <c r="O606">
        <f t="shared" si="60"/>
        <v>18</v>
      </c>
    </row>
    <row r="607" spans="1:15" ht="13.2" x14ac:dyDescent="0.25">
      <c r="A607" s="3">
        <v>606</v>
      </c>
      <c r="B607" s="4">
        <v>40571</v>
      </c>
      <c r="C607" s="3">
        <v>1</v>
      </c>
      <c r="D607" s="3">
        <f t="shared" si="56"/>
        <v>2011</v>
      </c>
      <c r="E607" s="3">
        <v>1</v>
      </c>
      <c r="F607" s="3">
        <v>11</v>
      </c>
      <c r="G607" s="3" t="str">
        <f t="shared" si="57"/>
        <v>Morning</v>
      </c>
      <c r="H607" s="3" t="b">
        <v>0</v>
      </c>
      <c r="I607" s="3" t="str">
        <f t="shared" si="55"/>
        <v>Working day</v>
      </c>
      <c r="J607" s="3">
        <v>5</v>
      </c>
      <c r="K607" s="3" t="str">
        <f t="shared" si="58"/>
        <v>Saturday</v>
      </c>
      <c r="L607" s="3">
        <v>3</v>
      </c>
      <c r="M607" s="3" t="str">
        <f t="shared" si="59"/>
        <v>Dark Cloudy</v>
      </c>
      <c r="N607" s="3">
        <v>0.18</v>
      </c>
      <c r="O607">
        <f t="shared" si="60"/>
        <v>18</v>
      </c>
    </row>
    <row r="608" spans="1:15" ht="13.2" x14ac:dyDescent="0.25">
      <c r="A608" s="3">
        <v>607</v>
      </c>
      <c r="B608" s="4">
        <v>40571</v>
      </c>
      <c r="C608" s="3">
        <v>1</v>
      </c>
      <c r="D608" s="3">
        <f t="shared" si="56"/>
        <v>2011</v>
      </c>
      <c r="E608" s="3">
        <v>1</v>
      </c>
      <c r="F608" s="3">
        <v>12</v>
      </c>
      <c r="G608" s="3" t="str">
        <f t="shared" si="57"/>
        <v>Afternoon</v>
      </c>
      <c r="H608" s="3" t="b">
        <v>0</v>
      </c>
      <c r="I608" s="3" t="str">
        <f t="shared" si="55"/>
        <v>Working day</v>
      </c>
      <c r="J608" s="3">
        <v>5</v>
      </c>
      <c r="K608" s="3" t="str">
        <f t="shared" si="58"/>
        <v>Saturday</v>
      </c>
      <c r="L608" s="3">
        <v>3</v>
      </c>
      <c r="M608" s="3" t="str">
        <f t="shared" si="59"/>
        <v>Dark Cloudy</v>
      </c>
      <c r="N608" s="3">
        <v>0.18</v>
      </c>
      <c r="O608">
        <f t="shared" si="60"/>
        <v>18</v>
      </c>
    </row>
    <row r="609" spans="1:15" ht="13.2" x14ac:dyDescent="0.25">
      <c r="A609" s="3">
        <v>608</v>
      </c>
      <c r="B609" s="4">
        <v>40571</v>
      </c>
      <c r="C609" s="3">
        <v>1</v>
      </c>
      <c r="D609" s="3">
        <f t="shared" si="56"/>
        <v>2011</v>
      </c>
      <c r="E609" s="3">
        <v>1</v>
      </c>
      <c r="F609" s="3">
        <v>13</v>
      </c>
      <c r="G609" s="3" t="str">
        <f t="shared" si="57"/>
        <v>Afternoon</v>
      </c>
      <c r="H609" s="3" t="b">
        <v>0</v>
      </c>
      <c r="I609" s="3" t="str">
        <f t="shared" si="55"/>
        <v>Working day</v>
      </c>
      <c r="J609" s="3">
        <v>5</v>
      </c>
      <c r="K609" s="3" t="str">
        <f t="shared" si="58"/>
        <v>Saturday</v>
      </c>
      <c r="L609" s="3">
        <v>3</v>
      </c>
      <c r="M609" s="3" t="str">
        <f t="shared" si="59"/>
        <v>Dark Cloudy</v>
      </c>
      <c r="N609" s="3">
        <v>0.18</v>
      </c>
      <c r="O609">
        <f t="shared" si="60"/>
        <v>18</v>
      </c>
    </row>
    <row r="610" spans="1:15" ht="13.2" x14ac:dyDescent="0.25">
      <c r="A610" s="3">
        <v>609</v>
      </c>
      <c r="B610" s="4">
        <v>40571</v>
      </c>
      <c r="C610" s="3">
        <v>1</v>
      </c>
      <c r="D610" s="3">
        <f t="shared" si="56"/>
        <v>2011</v>
      </c>
      <c r="E610" s="3">
        <v>1</v>
      </c>
      <c r="F610" s="3">
        <v>14</v>
      </c>
      <c r="G610" s="3" t="str">
        <f t="shared" si="57"/>
        <v>Afternoon</v>
      </c>
      <c r="H610" s="3" t="b">
        <v>0</v>
      </c>
      <c r="I610" s="3" t="str">
        <f t="shared" si="55"/>
        <v>Working day</v>
      </c>
      <c r="J610" s="3">
        <v>5</v>
      </c>
      <c r="K610" s="3" t="str">
        <f t="shared" si="58"/>
        <v>Saturday</v>
      </c>
      <c r="L610" s="3">
        <v>3</v>
      </c>
      <c r="M610" s="3" t="str">
        <f t="shared" si="59"/>
        <v>Dark Cloudy</v>
      </c>
      <c r="N610" s="3">
        <v>0.22</v>
      </c>
      <c r="O610">
        <f t="shared" si="60"/>
        <v>22</v>
      </c>
    </row>
    <row r="611" spans="1:15" ht="13.2" x14ac:dyDescent="0.25">
      <c r="A611" s="3">
        <v>610</v>
      </c>
      <c r="B611" s="4">
        <v>40571</v>
      </c>
      <c r="C611" s="3">
        <v>1</v>
      </c>
      <c r="D611" s="3">
        <f t="shared" si="56"/>
        <v>2011</v>
      </c>
      <c r="E611" s="3">
        <v>1</v>
      </c>
      <c r="F611" s="3">
        <v>15</v>
      </c>
      <c r="G611" s="3" t="str">
        <f t="shared" si="57"/>
        <v>Afternoon</v>
      </c>
      <c r="H611" s="3" t="b">
        <v>0</v>
      </c>
      <c r="I611" s="3" t="str">
        <f t="shared" si="55"/>
        <v>Working day</v>
      </c>
      <c r="J611" s="3">
        <v>5</v>
      </c>
      <c r="K611" s="3" t="str">
        <f t="shared" si="58"/>
        <v>Saturday</v>
      </c>
      <c r="L611" s="3">
        <v>2</v>
      </c>
      <c r="M611" s="3" t="str">
        <f t="shared" si="59"/>
        <v>Mild Cloudy</v>
      </c>
      <c r="N611" s="3">
        <v>0.2</v>
      </c>
      <c r="O611">
        <f t="shared" si="60"/>
        <v>20</v>
      </c>
    </row>
  </sheetData>
  <autoFilter ref="A1:N611" xr:uid="{00000000-0001-0000-0000-000000000000}"/>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95724F-D206-4EF0-A392-A37BAABC5E85}">
  <dimension ref="A3:C10"/>
  <sheetViews>
    <sheetView workbookViewId="0">
      <selection activeCell="C7" sqref="C7"/>
    </sheetView>
  </sheetViews>
  <sheetFormatPr defaultRowHeight="13.2" x14ac:dyDescent="0.25"/>
  <cols>
    <col min="1" max="1" width="13.33203125" bestFit="1" customWidth="1"/>
    <col min="2" max="2" width="18" bestFit="1" customWidth="1"/>
    <col min="3" max="3" width="16.88671875" bestFit="1" customWidth="1"/>
  </cols>
  <sheetData>
    <row r="3" spans="1:3" x14ac:dyDescent="0.25">
      <c r="A3" s="5" t="s">
        <v>9</v>
      </c>
      <c r="B3" t="s">
        <v>10</v>
      </c>
      <c r="C3" t="s">
        <v>17</v>
      </c>
    </row>
    <row r="4" spans="1:3" x14ac:dyDescent="0.25">
      <c r="A4" s="6" t="s">
        <v>19</v>
      </c>
      <c r="B4">
        <v>14.399999999999995</v>
      </c>
      <c r="C4">
        <v>134</v>
      </c>
    </row>
    <row r="5" spans="1:3" x14ac:dyDescent="0.25">
      <c r="A5" s="6" t="s">
        <v>20</v>
      </c>
      <c r="B5">
        <v>16.060000000000009</v>
      </c>
      <c r="C5">
        <v>133</v>
      </c>
    </row>
    <row r="6" spans="1:3" x14ac:dyDescent="0.25">
      <c r="A6" s="6" t="s">
        <v>21</v>
      </c>
      <c r="B6">
        <v>19.219999999999992</v>
      </c>
      <c r="C6">
        <v>132</v>
      </c>
    </row>
    <row r="7" spans="1:3" x14ac:dyDescent="0.25">
      <c r="A7" s="6" t="s">
        <v>22</v>
      </c>
      <c r="B7">
        <v>16.5</v>
      </c>
      <c r="C7">
        <v>102</v>
      </c>
    </row>
    <row r="8" spans="1:3" x14ac:dyDescent="0.25">
      <c r="A8" s="6" t="s">
        <v>23</v>
      </c>
      <c r="B8">
        <v>15.279999999999992</v>
      </c>
      <c r="C8">
        <v>131</v>
      </c>
    </row>
    <row r="9" spans="1:3" x14ac:dyDescent="0.25">
      <c r="A9" s="6" t="s">
        <v>24</v>
      </c>
      <c r="B9">
        <v>19.179999999999986</v>
      </c>
      <c r="C9">
        <v>146</v>
      </c>
    </row>
    <row r="10" spans="1:3" x14ac:dyDescent="0.25">
      <c r="A10" s="6" t="s">
        <v>18</v>
      </c>
      <c r="B10">
        <v>19.459999999999997</v>
      </c>
      <c r="C10">
        <v>123</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E19D94-E8FC-4211-B48B-66D5A3ECEA8B}">
  <dimension ref="A1:C5"/>
  <sheetViews>
    <sheetView workbookViewId="0">
      <selection activeCell="W17" sqref="W17"/>
    </sheetView>
  </sheetViews>
  <sheetFormatPr defaultRowHeight="13.2" x14ac:dyDescent="0.25"/>
  <cols>
    <col min="1" max="1" width="13.33203125" bestFit="1" customWidth="1"/>
    <col min="2" max="2" width="12" bestFit="1" customWidth="1"/>
    <col min="3" max="4" width="18" bestFit="1" customWidth="1"/>
  </cols>
  <sheetData>
    <row r="1" spans="1:3" x14ac:dyDescent="0.25">
      <c r="A1" s="5" t="s">
        <v>9</v>
      </c>
      <c r="B1" t="s">
        <v>11</v>
      </c>
      <c r="C1" t="s">
        <v>36</v>
      </c>
    </row>
    <row r="2" spans="1:3" x14ac:dyDescent="0.25">
      <c r="A2" s="6" t="s">
        <v>34</v>
      </c>
      <c r="B2">
        <v>2349</v>
      </c>
      <c r="C2">
        <v>3824</v>
      </c>
    </row>
    <row r="3" spans="1:3" x14ac:dyDescent="0.25">
      <c r="A3" s="6" t="s">
        <v>35</v>
      </c>
      <c r="B3">
        <v>3198</v>
      </c>
      <c r="C3">
        <v>3048</v>
      </c>
    </row>
    <row r="4" spans="1:3" x14ac:dyDescent="0.25">
      <c r="A4" s="6" t="s">
        <v>33</v>
      </c>
      <c r="B4">
        <v>1326</v>
      </c>
      <c r="C4">
        <v>2782</v>
      </c>
    </row>
    <row r="5" spans="1:3" x14ac:dyDescent="0.25">
      <c r="A5" s="6" t="s">
        <v>32</v>
      </c>
      <c r="B5">
        <v>322</v>
      </c>
      <c r="C5">
        <v>2356</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7D2599-1EC2-4C38-8ED0-14668EBE4B24}">
  <dimension ref="A3:B8"/>
  <sheetViews>
    <sheetView workbookViewId="0">
      <selection activeCell="O15" sqref="O15"/>
    </sheetView>
  </sheetViews>
  <sheetFormatPr defaultRowHeight="13.2" x14ac:dyDescent="0.25"/>
  <cols>
    <col min="1" max="1" width="13.33203125" bestFit="1" customWidth="1"/>
    <col min="2" max="2" width="18" bestFit="1" customWidth="1"/>
    <col min="3" max="3" width="16.88671875" bestFit="1" customWidth="1"/>
  </cols>
  <sheetData>
    <row r="3" spans="1:2" x14ac:dyDescent="0.25">
      <c r="A3" s="5" t="s">
        <v>9</v>
      </c>
      <c r="B3" t="s">
        <v>10</v>
      </c>
    </row>
    <row r="4" spans="1:2" x14ac:dyDescent="0.25">
      <c r="A4" s="6" t="s">
        <v>26</v>
      </c>
      <c r="B4">
        <v>10.4</v>
      </c>
    </row>
    <row r="5" spans="1:2" x14ac:dyDescent="0.25">
      <c r="A5" s="6" t="s">
        <v>27</v>
      </c>
      <c r="B5">
        <v>42.99999999999995</v>
      </c>
    </row>
    <row r="6" spans="1:2" x14ac:dyDescent="0.25">
      <c r="A6" s="6" t="s">
        <v>28</v>
      </c>
      <c r="B6">
        <v>66.48</v>
      </c>
    </row>
    <row r="7" spans="1:2" x14ac:dyDescent="0.25">
      <c r="A7" s="6" t="s">
        <v>29</v>
      </c>
      <c r="B7">
        <v>0.22</v>
      </c>
    </row>
    <row r="8" spans="1:2" x14ac:dyDescent="0.25">
      <c r="A8" s="6" t="s">
        <v>31</v>
      </c>
      <c r="B8">
        <v>120.09999999999995</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4B53CE-BDF2-45DC-ABCE-1216F295787C}">
  <dimension ref="A3:B11"/>
  <sheetViews>
    <sheetView tabSelected="1" workbookViewId="0">
      <selection activeCell="M27" sqref="M27"/>
    </sheetView>
  </sheetViews>
  <sheetFormatPr defaultRowHeight="13.2" x14ac:dyDescent="0.25"/>
  <cols>
    <col min="1" max="1" width="13.33203125" bestFit="1" customWidth="1"/>
    <col min="2" max="2" width="18" bestFit="1" customWidth="1"/>
    <col min="3" max="3" width="19.44140625" bestFit="1" customWidth="1"/>
  </cols>
  <sheetData>
    <row r="3" spans="1:2" x14ac:dyDescent="0.25">
      <c r="A3" s="5" t="s">
        <v>9</v>
      </c>
      <c r="B3" t="s">
        <v>10</v>
      </c>
    </row>
    <row r="4" spans="1:2" x14ac:dyDescent="0.25">
      <c r="A4" s="6" t="s">
        <v>19</v>
      </c>
      <c r="B4">
        <v>14.399999999999995</v>
      </c>
    </row>
    <row r="5" spans="1:2" x14ac:dyDescent="0.25">
      <c r="A5" s="6" t="s">
        <v>20</v>
      </c>
      <c r="B5">
        <v>16.060000000000009</v>
      </c>
    </row>
    <row r="6" spans="1:2" x14ac:dyDescent="0.25">
      <c r="A6" s="6" t="s">
        <v>21</v>
      </c>
      <c r="B6">
        <v>19.219999999999992</v>
      </c>
    </row>
    <row r="7" spans="1:2" x14ac:dyDescent="0.25">
      <c r="A7" s="6" t="s">
        <v>22</v>
      </c>
      <c r="B7">
        <v>16.5</v>
      </c>
    </row>
    <row r="8" spans="1:2" x14ac:dyDescent="0.25">
      <c r="A8" s="6" t="s">
        <v>23</v>
      </c>
      <c r="B8">
        <v>15.279999999999992</v>
      </c>
    </row>
    <row r="9" spans="1:2" x14ac:dyDescent="0.25">
      <c r="A9" s="6" t="s">
        <v>24</v>
      </c>
      <c r="B9">
        <v>19.179999999999986</v>
      </c>
    </row>
    <row r="10" spans="1:2" x14ac:dyDescent="0.25">
      <c r="A10" s="6" t="s">
        <v>18</v>
      </c>
      <c r="B10">
        <v>19.459999999999997</v>
      </c>
    </row>
    <row r="11" spans="1:2" x14ac:dyDescent="0.25">
      <c r="A11" s="6" t="s">
        <v>31</v>
      </c>
      <c r="B11">
        <v>120.09999999999995</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92E418-9733-4FCE-8AD7-AF6A43F9C944}">
  <dimension ref="A1:W259"/>
  <sheetViews>
    <sheetView showGridLines="0" topLeftCell="A5" zoomScaleNormal="100" workbookViewId="0">
      <selection activeCell="V27" sqref="V27"/>
    </sheetView>
  </sheetViews>
  <sheetFormatPr defaultRowHeight="13.2" x14ac:dyDescent="0.25"/>
  <sheetData>
    <row r="1" spans="1:23" x14ac:dyDescent="0.25">
      <c r="A1" s="7"/>
      <c r="B1" s="7"/>
      <c r="C1" s="9" t="s">
        <v>25</v>
      </c>
      <c r="D1" s="9"/>
      <c r="E1" s="9"/>
      <c r="F1" s="9"/>
      <c r="G1" s="9"/>
      <c r="H1" s="9"/>
      <c r="I1" s="9"/>
      <c r="J1" s="9"/>
      <c r="K1" s="9"/>
      <c r="L1" s="9"/>
      <c r="M1" s="9"/>
      <c r="N1" s="9"/>
      <c r="O1" s="9"/>
      <c r="P1" s="9"/>
      <c r="Q1" s="9"/>
      <c r="R1" s="9"/>
      <c r="S1" s="9"/>
      <c r="T1" s="9"/>
      <c r="U1" s="7"/>
      <c r="V1" s="7"/>
      <c r="W1" s="7"/>
    </row>
    <row r="2" spans="1:23" x14ac:dyDescent="0.25">
      <c r="A2" s="7"/>
      <c r="B2" s="7"/>
      <c r="C2" s="9"/>
      <c r="D2" s="9"/>
      <c r="E2" s="9"/>
      <c r="F2" s="9"/>
      <c r="G2" s="9"/>
      <c r="H2" s="9"/>
      <c r="I2" s="9"/>
      <c r="J2" s="9"/>
      <c r="K2" s="9"/>
      <c r="L2" s="9"/>
      <c r="M2" s="9"/>
      <c r="N2" s="9"/>
      <c r="O2" s="9"/>
      <c r="P2" s="9"/>
      <c r="Q2" s="9"/>
      <c r="R2" s="9"/>
      <c r="S2" s="9"/>
      <c r="T2" s="9"/>
      <c r="U2" s="7"/>
      <c r="V2" s="7"/>
      <c r="W2" s="7"/>
    </row>
    <row r="3" spans="1:23" x14ac:dyDescent="0.25">
      <c r="A3" s="7"/>
      <c r="B3" s="7"/>
      <c r="C3" s="7"/>
      <c r="D3" s="7"/>
      <c r="E3" s="7"/>
      <c r="F3" s="7"/>
      <c r="G3" s="7"/>
      <c r="H3" s="7"/>
      <c r="I3" s="7"/>
      <c r="J3" s="7"/>
      <c r="K3" s="7"/>
      <c r="L3" s="7"/>
      <c r="M3" s="7"/>
      <c r="N3" s="7"/>
      <c r="O3" s="7"/>
      <c r="P3" s="7"/>
      <c r="Q3" s="7"/>
      <c r="R3" s="7"/>
      <c r="S3" s="7"/>
      <c r="T3" s="7"/>
      <c r="U3" s="7"/>
      <c r="V3" s="7"/>
      <c r="W3" s="7"/>
    </row>
    <row r="4" spans="1:23" x14ac:dyDescent="0.25">
      <c r="A4" s="7"/>
      <c r="B4" s="7"/>
      <c r="C4" s="7"/>
      <c r="D4" s="7"/>
      <c r="E4" s="7"/>
      <c r="F4" s="7"/>
      <c r="G4" s="7"/>
      <c r="H4" s="7"/>
      <c r="I4" s="7"/>
      <c r="J4" s="7"/>
      <c r="K4" s="7"/>
      <c r="L4" s="7"/>
      <c r="M4" s="7"/>
      <c r="N4" s="7"/>
      <c r="O4" s="7"/>
      <c r="P4" s="7"/>
      <c r="Q4" s="7"/>
      <c r="R4" s="7"/>
      <c r="S4" s="7"/>
      <c r="T4" s="7"/>
      <c r="U4" s="7"/>
      <c r="V4" s="7"/>
      <c r="W4" s="7"/>
    </row>
    <row r="5" spans="1:23" x14ac:dyDescent="0.25">
      <c r="A5" s="7"/>
      <c r="B5" s="7"/>
      <c r="C5" s="7"/>
      <c r="D5" s="7"/>
      <c r="E5" s="7"/>
      <c r="F5" s="7"/>
      <c r="G5" s="7"/>
      <c r="H5" s="7"/>
      <c r="I5" s="7"/>
      <c r="J5" s="7"/>
      <c r="K5" s="7"/>
      <c r="L5" s="7"/>
      <c r="M5" s="7"/>
      <c r="N5" s="7"/>
      <c r="O5" s="7"/>
      <c r="P5" s="7"/>
      <c r="Q5" s="7"/>
      <c r="R5" s="7"/>
      <c r="S5" s="7"/>
      <c r="T5" s="7"/>
      <c r="U5" s="7"/>
      <c r="V5" s="7"/>
      <c r="W5" s="7"/>
    </row>
    <row r="6" spans="1:23" x14ac:dyDescent="0.25">
      <c r="A6" s="7"/>
      <c r="B6" s="7"/>
      <c r="C6" s="7"/>
      <c r="D6" s="7"/>
      <c r="E6" s="7"/>
      <c r="F6" s="7"/>
      <c r="G6" s="7"/>
      <c r="H6" s="7"/>
      <c r="I6" s="7"/>
      <c r="J6" s="7"/>
      <c r="K6" s="7"/>
      <c r="L6" s="7"/>
      <c r="M6" s="7"/>
      <c r="N6" s="7"/>
      <c r="O6" s="7"/>
      <c r="P6" s="7"/>
      <c r="Q6" s="7"/>
      <c r="R6" s="7"/>
      <c r="S6" s="7"/>
      <c r="T6" s="7"/>
      <c r="U6" s="7"/>
      <c r="V6" s="7"/>
      <c r="W6" s="7"/>
    </row>
    <row r="7" spans="1:23" x14ac:dyDescent="0.25">
      <c r="A7" s="7"/>
      <c r="B7" s="7"/>
      <c r="C7" s="7"/>
      <c r="D7" s="7"/>
      <c r="E7" s="7"/>
      <c r="F7" s="7"/>
      <c r="G7" s="7"/>
      <c r="H7" s="7"/>
      <c r="I7" s="7"/>
      <c r="J7" s="7"/>
      <c r="K7" s="7"/>
      <c r="L7" s="7"/>
      <c r="M7" s="7"/>
      <c r="N7" s="7"/>
      <c r="O7" s="7"/>
      <c r="P7" s="7"/>
      <c r="Q7" s="7"/>
      <c r="R7" s="7"/>
      <c r="S7" s="7"/>
      <c r="T7" s="7"/>
      <c r="U7" s="7"/>
      <c r="V7" s="7"/>
      <c r="W7" s="7"/>
    </row>
    <row r="8" spans="1:23" x14ac:dyDescent="0.25">
      <c r="A8" s="7"/>
      <c r="B8" s="7"/>
      <c r="C8" s="7"/>
      <c r="D8" s="7"/>
      <c r="E8" s="7"/>
      <c r="F8" s="7"/>
      <c r="G8" s="7"/>
      <c r="H8" s="7"/>
      <c r="I8" s="7"/>
      <c r="J8" s="7"/>
      <c r="K8" s="7"/>
      <c r="L8" s="7"/>
      <c r="M8" s="7"/>
      <c r="N8" s="7"/>
      <c r="O8" s="7"/>
      <c r="P8" s="7"/>
      <c r="Q8" s="7"/>
      <c r="R8" s="7"/>
      <c r="S8" s="7"/>
      <c r="T8" s="7"/>
      <c r="U8" s="7"/>
      <c r="V8" s="7"/>
      <c r="W8" s="7"/>
    </row>
    <row r="9" spans="1:23" x14ac:dyDescent="0.25">
      <c r="A9" s="7"/>
      <c r="B9" s="7"/>
      <c r="C9" s="7"/>
      <c r="D9" s="7"/>
      <c r="E9" s="7"/>
      <c r="F9" s="7"/>
      <c r="G9" s="7"/>
      <c r="H9" s="7"/>
      <c r="I9" s="7"/>
      <c r="J9" s="7"/>
      <c r="K9" s="7"/>
      <c r="L9" s="7"/>
      <c r="M9" s="7"/>
      <c r="N9" s="7"/>
      <c r="O9" s="7"/>
      <c r="P9" s="7"/>
      <c r="Q9" s="7"/>
      <c r="R9" s="7"/>
      <c r="S9" s="7"/>
      <c r="T9" s="7"/>
      <c r="U9" s="7"/>
      <c r="V9" s="7"/>
      <c r="W9" s="7"/>
    </row>
    <row r="10" spans="1:23" x14ac:dyDescent="0.25">
      <c r="A10" s="7"/>
      <c r="B10" s="7"/>
      <c r="C10" s="7"/>
      <c r="D10" s="7"/>
      <c r="E10" s="7"/>
      <c r="F10" s="7"/>
      <c r="G10" s="7"/>
      <c r="H10" s="7"/>
      <c r="I10" s="7"/>
      <c r="J10" s="7"/>
      <c r="K10" s="7"/>
      <c r="L10" s="7"/>
      <c r="M10" s="7"/>
      <c r="N10" s="7"/>
      <c r="O10" s="7"/>
      <c r="P10" s="7"/>
      <c r="Q10" s="7"/>
      <c r="R10" s="7"/>
      <c r="S10" s="7"/>
      <c r="T10" s="7"/>
      <c r="U10" s="7"/>
      <c r="V10" s="7"/>
      <c r="W10" s="7"/>
    </row>
    <row r="11" spans="1:23" x14ac:dyDescent="0.25">
      <c r="A11" s="7"/>
      <c r="B11" s="7"/>
      <c r="C11" s="7"/>
      <c r="D11" s="7"/>
      <c r="E11" s="7"/>
      <c r="F11" s="7"/>
      <c r="G11" s="7"/>
      <c r="H11" s="7"/>
      <c r="I11" s="7"/>
      <c r="J11" s="7"/>
      <c r="K11" s="7"/>
      <c r="L11" s="7"/>
      <c r="M11" s="7"/>
      <c r="N11" s="7"/>
      <c r="O11" s="7"/>
      <c r="P11" s="7"/>
      <c r="Q11" s="7"/>
      <c r="R11" s="7"/>
      <c r="S11" s="7"/>
      <c r="T11" s="7"/>
      <c r="U11" s="7"/>
      <c r="V11" s="7"/>
      <c r="W11" s="7"/>
    </row>
    <row r="12" spans="1:23" x14ac:dyDescent="0.25">
      <c r="A12" s="7"/>
      <c r="B12" s="7"/>
      <c r="C12" s="7"/>
      <c r="D12" s="7"/>
      <c r="E12" s="7"/>
      <c r="F12" s="7"/>
      <c r="G12" s="7"/>
      <c r="H12" s="7"/>
      <c r="I12" s="7"/>
      <c r="J12" s="7"/>
      <c r="K12" s="7"/>
      <c r="L12" s="7"/>
      <c r="M12" s="7"/>
      <c r="N12" s="7"/>
      <c r="O12" s="7"/>
      <c r="P12" s="7"/>
      <c r="Q12" s="7"/>
      <c r="R12" s="7"/>
      <c r="S12" s="7"/>
      <c r="T12" s="7"/>
      <c r="U12" s="7"/>
      <c r="V12" s="7"/>
      <c r="W12" s="7"/>
    </row>
    <row r="13" spans="1:23" x14ac:dyDescent="0.25">
      <c r="A13" s="7"/>
      <c r="B13" s="7"/>
      <c r="C13" s="7"/>
      <c r="D13" s="7"/>
      <c r="E13" s="7"/>
      <c r="F13" s="7"/>
      <c r="G13" s="7"/>
      <c r="H13" s="7"/>
      <c r="I13" s="7"/>
      <c r="J13" s="7"/>
      <c r="K13" s="7"/>
      <c r="L13" s="7"/>
      <c r="M13" s="7"/>
      <c r="N13" s="7"/>
      <c r="O13" s="7"/>
      <c r="P13" s="7"/>
      <c r="Q13" s="7"/>
      <c r="R13" s="7"/>
      <c r="S13" s="7"/>
      <c r="T13" s="7"/>
      <c r="U13" s="7"/>
      <c r="V13" s="7"/>
      <c r="W13" s="7"/>
    </row>
    <row r="14" spans="1:23" x14ac:dyDescent="0.25">
      <c r="A14" s="7"/>
      <c r="B14" s="7"/>
      <c r="C14" s="7"/>
      <c r="D14" s="7"/>
      <c r="E14" s="7"/>
      <c r="F14" s="7"/>
      <c r="G14" s="7"/>
      <c r="H14" s="7"/>
      <c r="I14" s="7"/>
      <c r="J14" s="7"/>
      <c r="K14" s="7"/>
      <c r="L14" s="7"/>
      <c r="M14" s="7"/>
      <c r="N14" s="7"/>
      <c r="O14" s="7"/>
      <c r="P14" s="7"/>
      <c r="Q14" s="7"/>
      <c r="R14" s="7"/>
      <c r="S14" s="7"/>
      <c r="T14" s="7"/>
      <c r="U14" s="7"/>
      <c r="V14" s="7"/>
      <c r="W14" s="7"/>
    </row>
    <row r="15" spans="1:23" x14ac:dyDescent="0.25">
      <c r="A15" s="7"/>
      <c r="B15" s="7"/>
      <c r="C15" s="7"/>
      <c r="D15" s="7"/>
      <c r="E15" s="7"/>
      <c r="F15" s="7"/>
      <c r="G15" s="7"/>
      <c r="H15" s="7"/>
      <c r="I15" s="7"/>
      <c r="J15" s="7"/>
      <c r="K15" s="7"/>
      <c r="L15" s="7"/>
      <c r="M15" s="7"/>
      <c r="N15" s="7"/>
      <c r="O15" s="7"/>
      <c r="P15" s="7"/>
      <c r="Q15" s="7"/>
      <c r="R15" s="7"/>
      <c r="S15" s="7"/>
      <c r="T15" s="7"/>
      <c r="U15" s="7"/>
      <c r="V15" s="7"/>
      <c r="W15" s="7"/>
    </row>
    <row r="16" spans="1:23" x14ac:dyDescent="0.25">
      <c r="A16" s="7"/>
      <c r="B16" s="7"/>
      <c r="C16" s="7"/>
      <c r="D16" s="7"/>
      <c r="E16" s="7"/>
      <c r="F16" s="7"/>
      <c r="G16" s="7"/>
      <c r="H16" s="7"/>
      <c r="I16" s="7"/>
      <c r="J16" s="7"/>
      <c r="K16" s="7"/>
      <c r="L16" s="7"/>
      <c r="M16" s="7"/>
      <c r="N16" s="7"/>
      <c r="O16" s="7"/>
      <c r="P16" s="7"/>
      <c r="Q16" s="7"/>
      <c r="R16" s="7"/>
      <c r="S16" s="7"/>
      <c r="T16" s="7"/>
      <c r="U16" s="7"/>
      <c r="V16" s="7"/>
      <c r="W16" s="7"/>
    </row>
    <row r="17" spans="1:23" x14ac:dyDescent="0.25">
      <c r="A17" s="7"/>
      <c r="B17" s="7"/>
      <c r="C17" s="7"/>
      <c r="D17" s="7"/>
      <c r="E17" s="7"/>
      <c r="F17" s="7"/>
      <c r="G17" s="7"/>
      <c r="H17" s="7"/>
      <c r="I17" s="7"/>
      <c r="J17" s="7"/>
      <c r="K17" s="7"/>
      <c r="L17" s="7"/>
      <c r="M17" s="7"/>
      <c r="N17" s="7"/>
      <c r="O17" s="7"/>
      <c r="P17" s="7"/>
      <c r="Q17" s="7"/>
      <c r="R17" s="7"/>
      <c r="S17" s="7"/>
      <c r="T17" s="7"/>
      <c r="U17" s="7"/>
      <c r="V17" s="7"/>
      <c r="W17" s="7"/>
    </row>
    <row r="18" spans="1:23" x14ac:dyDescent="0.25">
      <c r="A18" s="7"/>
      <c r="B18" s="7"/>
      <c r="C18" s="7"/>
      <c r="D18" s="7"/>
      <c r="E18" s="7"/>
      <c r="F18" s="7"/>
      <c r="G18" s="7"/>
      <c r="H18" s="7"/>
      <c r="I18" s="7"/>
      <c r="J18" s="7"/>
      <c r="K18" s="7"/>
      <c r="L18" s="7"/>
      <c r="M18" s="7"/>
      <c r="N18" s="7"/>
      <c r="O18" s="7"/>
      <c r="P18" s="7"/>
      <c r="Q18" s="7"/>
      <c r="R18" s="7"/>
      <c r="S18" s="7"/>
      <c r="T18" s="7"/>
      <c r="U18" s="7"/>
      <c r="V18" s="7"/>
      <c r="W18" s="7"/>
    </row>
    <row r="19" spans="1:23" x14ac:dyDescent="0.25">
      <c r="A19" s="7"/>
      <c r="B19" s="7"/>
      <c r="C19" s="7"/>
      <c r="D19" s="7"/>
      <c r="E19" s="7"/>
      <c r="F19" s="7"/>
      <c r="G19" s="7"/>
      <c r="H19" s="7"/>
      <c r="I19" s="7"/>
      <c r="J19" s="7"/>
      <c r="K19" s="7"/>
      <c r="L19" s="7"/>
      <c r="M19" s="7"/>
      <c r="N19" s="7"/>
      <c r="O19" s="7"/>
      <c r="P19" s="7"/>
      <c r="Q19" s="7"/>
      <c r="R19" s="7"/>
      <c r="S19" s="7"/>
      <c r="T19" s="7"/>
      <c r="U19" s="7"/>
      <c r="V19" s="7"/>
      <c r="W19" s="7"/>
    </row>
    <row r="20" spans="1:23" x14ac:dyDescent="0.25">
      <c r="A20" s="7"/>
      <c r="B20" s="7"/>
      <c r="C20" s="7"/>
      <c r="D20" s="7"/>
      <c r="E20" s="7"/>
      <c r="F20" s="7"/>
      <c r="G20" s="7"/>
      <c r="H20" s="7"/>
      <c r="I20" s="7"/>
      <c r="J20" s="7"/>
      <c r="K20" s="7"/>
      <c r="L20" s="7"/>
      <c r="M20" s="7"/>
      <c r="N20" s="7"/>
      <c r="O20" s="7"/>
      <c r="P20" s="7"/>
      <c r="Q20" s="7"/>
      <c r="R20" s="7"/>
      <c r="S20" s="7"/>
      <c r="T20" s="7"/>
      <c r="U20" s="7"/>
      <c r="V20" s="7"/>
      <c r="W20" s="7"/>
    </row>
    <row r="21" spans="1:23" x14ac:dyDescent="0.25">
      <c r="A21" s="7"/>
      <c r="B21" s="7"/>
      <c r="C21" s="7"/>
      <c r="D21" s="7"/>
      <c r="E21" s="7"/>
      <c r="F21" s="7"/>
      <c r="G21" s="7"/>
      <c r="H21" s="7"/>
      <c r="I21" s="7"/>
      <c r="J21" s="7"/>
      <c r="K21" s="7"/>
      <c r="L21" s="7"/>
      <c r="M21" s="7"/>
      <c r="N21" s="7"/>
      <c r="O21" s="7"/>
      <c r="P21" s="7"/>
      <c r="Q21" s="7"/>
      <c r="R21" s="7"/>
      <c r="S21" s="7"/>
      <c r="T21" s="7"/>
      <c r="U21" s="7"/>
      <c r="V21" s="7"/>
      <c r="W21" s="7"/>
    </row>
    <row r="22" spans="1:23" x14ac:dyDescent="0.25">
      <c r="A22" s="7"/>
      <c r="B22" s="7"/>
      <c r="C22" s="7"/>
      <c r="D22" s="7"/>
      <c r="E22" s="7"/>
      <c r="F22" s="7"/>
      <c r="G22" s="7"/>
      <c r="H22" s="7"/>
      <c r="I22" s="7"/>
      <c r="J22" s="7"/>
      <c r="K22" s="7"/>
      <c r="L22" s="7"/>
      <c r="M22" s="7"/>
      <c r="N22" s="7"/>
      <c r="O22" s="7"/>
      <c r="P22" s="7"/>
      <c r="Q22" s="7"/>
      <c r="R22" s="7"/>
      <c r="S22" s="7"/>
      <c r="T22" s="7"/>
      <c r="U22" s="7"/>
      <c r="V22" s="7"/>
      <c r="W22" s="7"/>
    </row>
    <row r="23" spans="1:23" x14ac:dyDescent="0.25">
      <c r="A23" s="7"/>
      <c r="B23" s="7"/>
      <c r="C23" s="7"/>
      <c r="D23" s="7"/>
      <c r="E23" s="7"/>
      <c r="F23" s="7"/>
      <c r="G23" s="7"/>
      <c r="H23" s="7"/>
      <c r="I23" s="7"/>
      <c r="J23" s="7"/>
      <c r="K23" s="7"/>
      <c r="L23" s="7"/>
      <c r="M23" s="7"/>
      <c r="N23" s="7"/>
      <c r="O23" s="7"/>
      <c r="P23" s="7"/>
      <c r="Q23" s="7"/>
      <c r="R23" s="7"/>
      <c r="S23" s="7"/>
      <c r="T23" s="7"/>
      <c r="U23" s="7"/>
      <c r="V23" s="7"/>
      <c r="W23" s="7"/>
    </row>
    <row r="24" spans="1:23" x14ac:dyDescent="0.25">
      <c r="A24" s="7"/>
      <c r="B24" s="7"/>
      <c r="C24" s="7"/>
      <c r="D24" s="7"/>
      <c r="E24" s="7"/>
      <c r="F24" s="7"/>
      <c r="G24" s="7"/>
      <c r="H24" s="7"/>
      <c r="I24" s="7"/>
      <c r="J24" s="7"/>
      <c r="K24" s="7"/>
      <c r="L24" s="7"/>
      <c r="M24" s="7"/>
      <c r="N24" s="7"/>
      <c r="O24" s="7"/>
      <c r="P24" s="7"/>
      <c r="Q24" s="7"/>
      <c r="R24" s="7"/>
      <c r="S24" s="7"/>
      <c r="T24" s="7"/>
      <c r="U24" s="7"/>
      <c r="V24" s="7"/>
      <c r="W24" s="7"/>
    </row>
    <row r="25" spans="1:23" x14ac:dyDescent="0.25">
      <c r="A25" s="7"/>
      <c r="B25" s="7"/>
      <c r="C25" s="7"/>
      <c r="D25" s="7"/>
      <c r="E25" s="7"/>
      <c r="F25" s="7"/>
      <c r="G25" s="7"/>
      <c r="H25" s="7"/>
      <c r="I25" s="7"/>
      <c r="J25" s="7"/>
      <c r="K25" s="7"/>
      <c r="L25" s="7"/>
      <c r="M25" s="7"/>
      <c r="N25" s="7"/>
      <c r="O25" s="7"/>
      <c r="P25" s="7"/>
      <c r="Q25" s="7"/>
      <c r="R25" s="7"/>
      <c r="S25" s="7"/>
      <c r="T25" s="7"/>
      <c r="U25" s="7"/>
      <c r="V25" s="7"/>
      <c r="W25" s="7"/>
    </row>
    <row r="26" spans="1:23" x14ac:dyDescent="0.25">
      <c r="A26" s="7"/>
      <c r="B26" s="7"/>
      <c r="C26" s="7"/>
      <c r="D26" s="7"/>
      <c r="E26" s="7"/>
      <c r="F26" s="7"/>
      <c r="G26" s="7"/>
      <c r="H26" s="7"/>
      <c r="I26" s="7"/>
      <c r="J26" s="7"/>
      <c r="K26" s="7"/>
      <c r="L26" s="7"/>
      <c r="M26" s="7"/>
      <c r="N26" s="7"/>
      <c r="O26" s="7"/>
      <c r="P26" s="7"/>
      <c r="Q26" s="7"/>
      <c r="R26" s="7"/>
      <c r="S26" s="7"/>
      <c r="T26" s="7"/>
      <c r="U26" s="7"/>
      <c r="V26" s="7"/>
      <c r="W26" s="7"/>
    </row>
    <row r="27" spans="1:23" x14ac:dyDescent="0.25">
      <c r="A27" s="7"/>
      <c r="B27" s="7"/>
      <c r="C27" s="7"/>
      <c r="D27" s="7"/>
      <c r="E27" s="7"/>
      <c r="F27" s="7"/>
      <c r="G27" s="7"/>
      <c r="H27" s="7"/>
      <c r="I27" s="7"/>
      <c r="J27" s="7"/>
      <c r="K27" s="7"/>
      <c r="L27" s="7"/>
      <c r="M27" s="7"/>
      <c r="N27" s="7"/>
      <c r="O27" s="7"/>
      <c r="P27" s="7"/>
      <c r="Q27" s="7"/>
      <c r="R27" s="7"/>
      <c r="S27" s="7"/>
      <c r="T27" s="7"/>
      <c r="U27" s="7"/>
      <c r="V27" s="7"/>
      <c r="W27" s="7"/>
    </row>
    <row r="28" spans="1:23" x14ac:dyDescent="0.25">
      <c r="A28" s="7"/>
      <c r="B28" s="7"/>
      <c r="C28" s="7"/>
      <c r="D28" s="7"/>
      <c r="E28" s="7"/>
      <c r="F28" s="7"/>
      <c r="G28" s="7"/>
      <c r="H28" s="7"/>
      <c r="I28" s="7"/>
      <c r="J28" s="7"/>
      <c r="K28" s="7"/>
      <c r="L28" s="7"/>
      <c r="M28" s="7"/>
      <c r="N28" s="7"/>
      <c r="O28" s="7"/>
      <c r="P28" s="7"/>
      <c r="Q28" s="7"/>
      <c r="R28" s="7"/>
      <c r="S28" s="7"/>
      <c r="T28" s="7"/>
      <c r="U28" s="7"/>
      <c r="V28" s="7"/>
      <c r="W28" s="7"/>
    </row>
    <row r="29" spans="1:23" x14ac:dyDescent="0.25">
      <c r="A29" s="7"/>
      <c r="B29" s="7"/>
      <c r="C29" s="7"/>
      <c r="D29" s="7"/>
      <c r="E29" s="7"/>
      <c r="F29" s="7"/>
      <c r="G29" s="7"/>
      <c r="H29" s="7"/>
      <c r="I29" s="7"/>
      <c r="J29" s="7"/>
      <c r="K29" s="7"/>
      <c r="L29" s="7"/>
      <c r="M29" s="7"/>
      <c r="N29" s="7"/>
      <c r="O29" s="7"/>
      <c r="P29" s="7"/>
      <c r="Q29" s="7"/>
      <c r="R29" s="7"/>
      <c r="S29" s="7"/>
      <c r="T29" s="7"/>
      <c r="U29" s="7"/>
      <c r="V29" s="7"/>
      <c r="W29" s="7"/>
    </row>
    <row r="30" spans="1:23" x14ac:dyDescent="0.25">
      <c r="A30" s="7"/>
      <c r="B30" s="7"/>
      <c r="C30" s="7"/>
      <c r="D30" s="7"/>
      <c r="E30" s="7"/>
      <c r="F30" s="7"/>
      <c r="G30" s="7"/>
      <c r="H30" s="7"/>
      <c r="I30" s="7"/>
      <c r="J30" s="7"/>
      <c r="K30" s="7"/>
      <c r="L30" s="7"/>
      <c r="M30" s="7"/>
      <c r="N30" s="7"/>
      <c r="O30" s="7"/>
      <c r="P30" s="7"/>
      <c r="Q30" s="7"/>
      <c r="R30" s="7"/>
      <c r="S30" s="7"/>
      <c r="T30" s="7"/>
      <c r="U30" s="7"/>
      <c r="V30" s="7"/>
      <c r="W30" s="7"/>
    </row>
    <row r="31" spans="1:23" x14ac:dyDescent="0.25">
      <c r="A31" s="7"/>
      <c r="B31" s="7"/>
      <c r="C31" s="7"/>
      <c r="D31" s="7"/>
      <c r="E31" s="7"/>
      <c r="F31" s="7"/>
      <c r="G31" s="7"/>
      <c r="H31" s="7"/>
      <c r="I31" s="7"/>
      <c r="J31" s="7"/>
      <c r="K31" s="7"/>
      <c r="L31" s="7"/>
      <c r="M31" s="7"/>
      <c r="N31" s="7"/>
      <c r="O31" s="7"/>
      <c r="P31" s="7"/>
      <c r="Q31" s="7"/>
      <c r="R31" s="7"/>
      <c r="S31" s="7"/>
      <c r="T31" s="7"/>
      <c r="U31" s="7"/>
      <c r="V31" s="7"/>
      <c r="W31" s="7"/>
    </row>
    <row r="32" spans="1:23" x14ac:dyDescent="0.25">
      <c r="A32" s="7"/>
      <c r="B32" s="7"/>
      <c r="C32" s="7"/>
      <c r="D32" s="7"/>
      <c r="E32" s="7"/>
      <c r="F32" s="7"/>
      <c r="G32" s="7"/>
      <c r="H32" s="7"/>
      <c r="I32" s="7"/>
      <c r="J32" s="7"/>
      <c r="K32" s="7"/>
      <c r="L32" s="7"/>
      <c r="M32" s="7"/>
      <c r="N32" s="7"/>
      <c r="O32" s="7"/>
      <c r="P32" s="7"/>
      <c r="Q32" s="7"/>
      <c r="R32" s="7"/>
      <c r="S32" s="7"/>
      <c r="T32" s="7"/>
      <c r="U32" s="7"/>
      <c r="V32" s="7"/>
      <c r="W32" s="7"/>
    </row>
    <row r="33" spans="1:23" x14ac:dyDescent="0.25">
      <c r="A33" s="7"/>
      <c r="B33" s="7"/>
      <c r="C33" s="7"/>
      <c r="D33" s="7"/>
      <c r="E33" s="7"/>
      <c r="F33" s="7"/>
      <c r="G33" s="7"/>
      <c r="H33" s="7"/>
      <c r="I33" s="7"/>
      <c r="J33" s="7"/>
      <c r="K33" s="7"/>
      <c r="L33" s="7"/>
      <c r="M33" s="7"/>
      <c r="N33" s="7"/>
      <c r="O33" s="7"/>
      <c r="P33" s="7"/>
      <c r="Q33" s="7"/>
      <c r="R33" s="7"/>
      <c r="S33" s="7"/>
      <c r="T33" s="7"/>
      <c r="U33" s="7"/>
      <c r="V33" s="7"/>
      <c r="W33" s="7"/>
    </row>
    <row r="34" spans="1:23" x14ac:dyDescent="0.25">
      <c r="A34" s="7"/>
      <c r="B34" s="7"/>
      <c r="C34" s="7"/>
      <c r="D34" s="7"/>
      <c r="E34" s="7"/>
      <c r="F34" s="7"/>
      <c r="G34" s="7"/>
      <c r="H34" s="7"/>
      <c r="I34" s="7"/>
      <c r="J34" s="7"/>
      <c r="K34" s="7"/>
      <c r="L34" s="7"/>
      <c r="M34" s="7"/>
      <c r="N34" s="7"/>
      <c r="O34" s="7"/>
      <c r="P34" s="7"/>
      <c r="Q34" s="7"/>
      <c r="R34" s="7"/>
      <c r="S34" s="7"/>
      <c r="T34" s="7"/>
      <c r="U34" s="7"/>
      <c r="V34" s="7"/>
      <c r="W34" s="7"/>
    </row>
    <row r="35" spans="1:23" x14ac:dyDescent="0.25">
      <c r="A35" s="7"/>
      <c r="B35" s="7"/>
      <c r="C35" s="7"/>
      <c r="D35" s="7"/>
      <c r="E35" s="7"/>
      <c r="F35" s="7"/>
      <c r="G35" s="7"/>
      <c r="H35" s="7"/>
      <c r="I35" s="7"/>
      <c r="J35" s="7"/>
      <c r="K35" s="7"/>
      <c r="L35" s="7"/>
      <c r="M35" s="7"/>
      <c r="N35" s="7"/>
      <c r="O35" s="7"/>
      <c r="P35" s="7"/>
      <c r="Q35" s="7"/>
      <c r="R35" s="7"/>
      <c r="S35" s="7"/>
      <c r="T35" s="7"/>
      <c r="U35" s="7"/>
      <c r="V35" s="7"/>
      <c r="W35" s="7"/>
    </row>
    <row r="36" spans="1:23" x14ac:dyDescent="0.25">
      <c r="A36" s="7"/>
      <c r="B36" s="7"/>
      <c r="C36" s="7"/>
      <c r="D36" s="7"/>
      <c r="E36" s="7"/>
      <c r="F36" s="7"/>
      <c r="G36" s="7"/>
      <c r="H36" s="7"/>
      <c r="I36" s="7"/>
      <c r="J36" s="7"/>
      <c r="K36" s="7"/>
      <c r="L36" s="7"/>
      <c r="M36" s="7"/>
      <c r="N36" s="7"/>
      <c r="O36" s="7"/>
      <c r="P36" s="7"/>
      <c r="Q36" s="7"/>
      <c r="R36" s="7"/>
      <c r="S36" s="7"/>
      <c r="T36" s="7"/>
      <c r="U36" s="7"/>
      <c r="V36" s="7"/>
      <c r="W36" s="7"/>
    </row>
    <row r="37" spans="1:23" x14ac:dyDescent="0.25">
      <c r="A37" s="7"/>
      <c r="B37" s="7"/>
      <c r="C37" s="7"/>
      <c r="D37" s="7"/>
      <c r="E37" s="7"/>
      <c r="F37" s="7"/>
      <c r="G37" s="7"/>
      <c r="H37" s="7"/>
      <c r="I37" s="7"/>
      <c r="J37" s="7"/>
      <c r="K37" s="7"/>
      <c r="L37" s="7"/>
      <c r="M37" s="7"/>
      <c r="N37" s="7"/>
      <c r="O37" s="7"/>
      <c r="P37" s="7"/>
      <c r="Q37" s="7"/>
      <c r="R37" s="7"/>
      <c r="S37" s="7"/>
      <c r="T37" s="7"/>
      <c r="U37" s="7"/>
      <c r="V37" s="7"/>
      <c r="W37" s="7"/>
    </row>
    <row r="38" spans="1:23" x14ac:dyDescent="0.25">
      <c r="A38" s="7"/>
      <c r="B38" s="7"/>
      <c r="C38" s="7"/>
      <c r="D38" s="7"/>
      <c r="E38" s="7"/>
      <c r="F38" s="7"/>
      <c r="G38" s="7"/>
      <c r="H38" s="7"/>
      <c r="I38" s="7"/>
      <c r="J38" s="7"/>
      <c r="K38" s="7"/>
      <c r="L38" s="7"/>
      <c r="M38" s="7"/>
      <c r="N38" s="7"/>
      <c r="O38" s="7"/>
      <c r="P38" s="7"/>
      <c r="Q38" s="7"/>
      <c r="R38" s="7"/>
      <c r="S38" s="7"/>
      <c r="T38" s="7"/>
      <c r="U38" s="7"/>
      <c r="V38" s="7"/>
      <c r="W38" s="7"/>
    </row>
    <row r="39" spans="1:23" x14ac:dyDescent="0.25">
      <c r="A39" s="7"/>
      <c r="B39" s="7"/>
      <c r="C39" s="7"/>
      <c r="D39" s="7"/>
      <c r="E39" s="7"/>
      <c r="F39" s="7"/>
      <c r="G39" s="7"/>
      <c r="H39" s="7"/>
      <c r="I39" s="7"/>
      <c r="J39" s="7"/>
      <c r="K39" s="7"/>
      <c r="L39" s="7"/>
      <c r="M39" s="7"/>
      <c r="N39" s="7"/>
      <c r="O39" s="7"/>
      <c r="P39" s="7"/>
      <c r="Q39" s="7"/>
      <c r="R39" s="7"/>
      <c r="S39" s="7"/>
      <c r="T39" s="7"/>
      <c r="U39" s="7"/>
      <c r="V39" s="7"/>
      <c r="W39" s="7"/>
    </row>
    <row r="40" spans="1:23" x14ac:dyDescent="0.25">
      <c r="A40" s="7"/>
      <c r="B40" s="7"/>
      <c r="C40" s="7"/>
      <c r="D40" s="7"/>
      <c r="E40" s="7"/>
      <c r="F40" s="7"/>
      <c r="G40" s="7"/>
      <c r="H40" s="7"/>
      <c r="I40" s="7"/>
      <c r="J40" s="7"/>
      <c r="K40" s="7"/>
      <c r="L40" s="7"/>
      <c r="M40" s="7"/>
      <c r="N40" s="7"/>
      <c r="O40" s="7"/>
      <c r="P40" s="7"/>
      <c r="Q40" s="7"/>
      <c r="R40" s="7"/>
      <c r="S40" s="7"/>
      <c r="T40" s="7"/>
      <c r="U40" s="7"/>
      <c r="V40" s="7"/>
      <c r="W40" s="7"/>
    </row>
    <row r="41" spans="1:23" x14ac:dyDescent="0.25">
      <c r="A41" s="7"/>
      <c r="B41" s="7"/>
      <c r="C41" s="7"/>
      <c r="D41" s="7"/>
      <c r="E41" s="7"/>
      <c r="F41" s="7"/>
      <c r="G41" s="7"/>
      <c r="H41" s="7"/>
      <c r="I41" s="7"/>
      <c r="J41" s="7"/>
      <c r="K41" s="7"/>
      <c r="L41" s="7"/>
      <c r="M41" s="7"/>
      <c r="N41" s="7"/>
      <c r="O41" s="7"/>
      <c r="P41" s="7"/>
      <c r="Q41" s="7"/>
      <c r="R41" s="7"/>
      <c r="S41" s="7"/>
      <c r="T41" s="7"/>
      <c r="U41" s="7"/>
      <c r="V41" s="7"/>
      <c r="W41" s="7"/>
    </row>
    <row r="42" spans="1:23" x14ac:dyDescent="0.25">
      <c r="A42" s="7"/>
      <c r="B42" s="7"/>
      <c r="C42" s="7"/>
      <c r="D42" s="7"/>
      <c r="E42" s="7"/>
      <c r="F42" s="7"/>
      <c r="G42" s="7"/>
      <c r="H42" s="7"/>
      <c r="I42" s="7"/>
      <c r="J42" s="7"/>
      <c r="K42" s="7"/>
      <c r="L42" s="7"/>
      <c r="M42" s="7"/>
      <c r="N42" s="7"/>
      <c r="O42" s="7"/>
      <c r="P42" s="7"/>
      <c r="Q42" s="7"/>
      <c r="R42" s="7"/>
      <c r="S42" s="7"/>
      <c r="T42" s="7"/>
      <c r="U42" s="7"/>
      <c r="V42" s="7"/>
      <c r="W42" s="7"/>
    </row>
    <row r="43" spans="1:23" x14ac:dyDescent="0.25">
      <c r="A43" s="7"/>
      <c r="B43" s="7"/>
      <c r="C43" s="7"/>
      <c r="D43" s="7"/>
      <c r="E43" s="7"/>
      <c r="F43" s="7"/>
      <c r="G43" s="7"/>
      <c r="H43" s="7"/>
      <c r="I43" s="7"/>
      <c r="J43" s="7"/>
      <c r="K43" s="7"/>
      <c r="L43" s="7"/>
      <c r="M43" s="7"/>
      <c r="N43" s="7"/>
      <c r="O43" s="7"/>
      <c r="P43" s="7"/>
      <c r="Q43" s="7"/>
      <c r="R43" s="7"/>
      <c r="S43" s="7"/>
      <c r="T43" s="7"/>
      <c r="U43" s="7"/>
      <c r="V43" s="7"/>
      <c r="W43" s="7"/>
    </row>
    <row r="44" spans="1:23" x14ac:dyDescent="0.25">
      <c r="A44" s="7"/>
      <c r="B44" s="7"/>
      <c r="C44" s="7"/>
      <c r="D44" s="7"/>
      <c r="E44" s="7"/>
      <c r="F44" s="7"/>
      <c r="G44" s="7"/>
      <c r="H44" s="7"/>
      <c r="I44" s="7"/>
      <c r="J44" s="7"/>
      <c r="K44" s="7"/>
      <c r="L44" s="7"/>
      <c r="M44" s="7"/>
      <c r="N44" s="7"/>
      <c r="O44" s="7"/>
      <c r="P44" s="7"/>
      <c r="Q44" s="7"/>
      <c r="R44" s="7"/>
      <c r="S44" s="7"/>
      <c r="T44" s="7"/>
      <c r="U44" s="7"/>
      <c r="V44" s="7"/>
      <c r="W44" s="7"/>
    </row>
    <row r="45" spans="1:23" x14ac:dyDescent="0.25">
      <c r="A45" s="7"/>
      <c r="B45" s="7"/>
      <c r="C45" s="7"/>
      <c r="D45" s="7"/>
      <c r="E45" s="7"/>
      <c r="F45" s="7"/>
      <c r="G45" s="7"/>
      <c r="H45" s="7"/>
      <c r="I45" s="7"/>
      <c r="J45" s="7"/>
      <c r="K45" s="7"/>
      <c r="L45" s="7"/>
      <c r="M45" s="7"/>
      <c r="N45" s="7"/>
      <c r="O45" s="7"/>
      <c r="P45" s="7"/>
      <c r="Q45" s="7"/>
      <c r="R45" s="7"/>
      <c r="S45" s="7"/>
      <c r="T45" s="7"/>
      <c r="U45" s="7"/>
      <c r="V45" s="7"/>
      <c r="W45" s="7"/>
    </row>
    <row r="46" spans="1:23" x14ac:dyDescent="0.25">
      <c r="A46" s="7"/>
      <c r="B46" s="7"/>
      <c r="C46" s="7"/>
      <c r="D46" s="7"/>
      <c r="E46" s="7"/>
      <c r="F46" s="7"/>
      <c r="G46" s="7"/>
      <c r="H46" s="7"/>
      <c r="I46" s="7"/>
      <c r="J46" s="7"/>
      <c r="K46" s="7"/>
      <c r="L46" s="7"/>
      <c r="M46" s="7"/>
      <c r="N46" s="7"/>
      <c r="O46" s="7"/>
      <c r="P46" s="7"/>
      <c r="Q46" s="7"/>
      <c r="R46" s="7"/>
      <c r="S46" s="7"/>
      <c r="T46" s="7"/>
      <c r="U46" s="7"/>
      <c r="V46" s="7"/>
      <c r="W46" s="7"/>
    </row>
    <row r="47" spans="1:23" x14ac:dyDescent="0.25">
      <c r="A47" s="7"/>
      <c r="B47" s="7"/>
      <c r="C47" s="7"/>
      <c r="D47" s="7"/>
      <c r="E47" s="7"/>
      <c r="F47" s="7"/>
      <c r="G47" s="7"/>
      <c r="H47" s="7"/>
      <c r="I47" s="7"/>
      <c r="J47" s="7"/>
      <c r="K47" s="7"/>
      <c r="L47" s="7"/>
      <c r="M47" s="7"/>
      <c r="N47" s="7"/>
      <c r="O47" s="7"/>
      <c r="P47" s="7"/>
      <c r="Q47" s="7"/>
      <c r="R47" s="7"/>
      <c r="S47" s="7"/>
      <c r="T47" s="7"/>
      <c r="U47" s="7"/>
      <c r="V47" s="7"/>
      <c r="W47" s="7"/>
    </row>
    <row r="48" spans="1:23" x14ac:dyDescent="0.25">
      <c r="A48" s="7"/>
      <c r="B48" s="7"/>
      <c r="C48" s="7"/>
      <c r="D48" s="7"/>
      <c r="E48" s="7"/>
      <c r="F48" s="7"/>
      <c r="G48" s="7"/>
      <c r="H48" s="7"/>
      <c r="I48" s="7"/>
      <c r="J48" s="7"/>
      <c r="K48" s="7"/>
      <c r="L48" s="7"/>
      <c r="M48" s="7"/>
      <c r="N48" s="7"/>
      <c r="O48" s="7"/>
      <c r="P48" s="7"/>
      <c r="Q48" s="7"/>
      <c r="R48" s="7"/>
      <c r="S48" s="7"/>
      <c r="T48" s="7"/>
      <c r="U48" s="7"/>
      <c r="V48" s="7"/>
      <c r="W48" s="7"/>
    </row>
    <row r="49" spans="1:23" x14ac:dyDescent="0.25">
      <c r="A49" s="7"/>
      <c r="B49" s="7"/>
      <c r="C49" s="7"/>
      <c r="D49" s="7"/>
      <c r="E49" s="7"/>
      <c r="F49" s="7"/>
      <c r="G49" s="7"/>
      <c r="H49" s="7"/>
      <c r="I49" s="7"/>
      <c r="J49" s="7"/>
      <c r="K49" s="7"/>
      <c r="L49" s="7"/>
      <c r="M49" s="7"/>
      <c r="N49" s="7"/>
      <c r="O49" s="7"/>
      <c r="P49" s="7"/>
      <c r="Q49" s="7"/>
      <c r="R49" s="7"/>
      <c r="S49" s="7"/>
      <c r="T49" s="7"/>
      <c r="U49" s="7"/>
      <c r="V49" s="7"/>
      <c r="W49" s="7"/>
    </row>
    <row r="50" spans="1:23" x14ac:dyDescent="0.25">
      <c r="A50" s="7"/>
      <c r="B50" s="7"/>
      <c r="C50" s="7"/>
      <c r="D50" s="7"/>
      <c r="E50" s="7"/>
      <c r="F50" s="7"/>
      <c r="G50" s="7"/>
      <c r="H50" s="7"/>
      <c r="I50" s="7"/>
      <c r="J50" s="7"/>
      <c r="K50" s="7"/>
      <c r="L50" s="7"/>
      <c r="M50" s="7"/>
      <c r="N50" s="7"/>
      <c r="O50" s="7"/>
      <c r="P50" s="7"/>
      <c r="Q50" s="7"/>
      <c r="R50" s="7"/>
      <c r="S50" s="7"/>
      <c r="T50" s="7"/>
      <c r="U50" s="7"/>
      <c r="V50" s="7"/>
      <c r="W50" s="7"/>
    </row>
    <row r="51" spans="1:23" x14ac:dyDescent="0.25">
      <c r="A51" s="7"/>
      <c r="B51" s="7"/>
      <c r="C51" s="7"/>
      <c r="D51" s="7"/>
      <c r="E51" s="7"/>
      <c r="F51" s="7"/>
      <c r="G51" s="7"/>
      <c r="H51" s="7"/>
      <c r="I51" s="7"/>
      <c r="J51" s="7"/>
      <c r="K51" s="7"/>
      <c r="L51" s="7"/>
      <c r="M51" s="7"/>
      <c r="N51" s="7"/>
      <c r="O51" s="7"/>
      <c r="P51" s="7"/>
      <c r="Q51" s="7"/>
      <c r="R51" s="7"/>
      <c r="S51" s="7"/>
      <c r="T51" s="7"/>
      <c r="U51" s="7"/>
      <c r="V51" s="7"/>
      <c r="W51" s="7"/>
    </row>
    <row r="52" spans="1:23" x14ac:dyDescent="0.25">
      <c r="A52" s="7"/>
      <c r="B52" s="7"/>
      <c r="C52" s="7"/>
      <c r="D52" s="7"/>
      <c r="E52" s="7"/>
      <c r="F52" s="7"/>
      <c r="G52" s="7"/>
      <c r="H52" s="7"/>
      <c r="I52" s="7"/>
      <c r="J52" s="7"/>
      <c r="K52" s="7"/>
      <c r="L52" s="7"/>
      <c r="M52" s="7"/>
      <c r="N52" s="7"/>
      <c r="O52" s="7"/>
      <c r="P52" s="7"/>
      <c r="Q52" s="7"/>
      <c r="R52" s="7"/>
      <c r="S52" s="7"/>
      <c r="T52" s="7"/>
      <c r="U52" s="7"/>
      <c r="V52" s="7"/>
      <c r="W52" s="7"/>
    </row>
    <row r="53" spans="1:23" x14ac:dyDescent="0.25">
      <c r="A53" s="7"/>
      <c r="B53" s="7"/>
      <c r="C53" s="7"/>
      <c r="D53" s="7"/>
      <c r="E53" s="7"/>
      <c r="F53" s="7"/>
      <c r="G53" s="7"/>
      <c r="H53" s="7"/>
      <c r="I53" s="7"/>
      <c r="J53" s="7"/>
      <c r="K53" s="7"/>
      <c r="L53" s="7"/>
      <c r="M53" s="7"/>
      <c r="N53" s="7"/>
      <c r="O53" s="7"/>
      <c r="P53" s="7"/>
      <c r="Q53" s="7"/>
      <c r="R53" s="7"/>
      <c r="S53" s="7"/>
      <c r="T53" s="7"/>
      <c r="U53" s="7"/>
      <c r="V53" s="7"/>
      <c r="W53" s="7"/>
    </row>
    <row r="54" spans="1:23" x14ac:dyDescent="0.25">
      <c r="A54" s="7"/>
      <c r="B54" s="7"/>
      <c r="C54" s="7"/>
      <c r="D54" s="7"/>
      <c r="E54" s="7"/>
      <c r="F54" s="7"/>
      <c r="G54" s="7"/>
      <c r="H54" s="7"/>
      <c r="I54" s="7"/>
      <c r="J54" s="7"/>
      <c r="K54" s="7"/>
      <c r="L54" s="7"/>
      <c r="M54" s="7"/>
      <c r="N54" s="7"/>
      <c r="O54" s="7"/>
      <c r="P54" s="7"/>
      <c r="Q54" s="7"/>
      <c r="R54" s="7"/>
      <c r="S54" s="7"/>
      <c r="T54" s="7"/>
      <c r="U54" s="7"/>
      <c r="V54" s="7"/>
      <c r="W54" s="7"/>
    </row>
    <row r="55" spans="1:23" x14ac:dyDescent="0.25">
      <c r="A55" s="7"/>
      <c r="B55" s="7"/>
      <c r="C55" s="7"/>
      <c r="D55" s="7"/>
      <c r="E55" s="7"/>
      <c r="F55" s="7"/>
      <c r="G55" s="7"/>
      <c r="H55" s="7"/>
      <c r="I55" s="7"/>
      <c r="J55" s="7"/>
      <c r="K55" s="7"/>
      <c r="L55" s="7"/>
      <c r="M55" s="7"/>
      <c r="N55" s="7"/>
      <c r="O55" s="7"/>
      <c r="P55" s="7"/>
      <c r="Q55" s="7"/>
      <c r="R55" s="7"/>
      <c r="S55" s="7"/>
      <c r="T55" s="7"/>
      <c r="U55" s="7"/>
      <c r="V55" s="7"/>
      <c r="W55" s="7"/>
    </row>
    <row r="56" spans="1:23" x14ac:dyDescent="0.25">
      <c r="A56" s="7"/>
      <c r="B56" s="7"/>
      <c r="C56" s="7"/>
      <c r="D56" s="7"/>
      <c r="E56" s="7"/>
      <c r="F56" s="7"/>
      <c r="G56" s="7"/>
      <c r="H56" s="7"/>
      <c r="I56" s="7"/>
      <c r="J56" s="7"/>
      <c r="K56" s="7"/>
      <c r="L56" s="7"/>
      <c r="M56" s="7"/>
      <c r="N56" s="7"/>
      <c r="O56" s="7"/>
      <c r="P56" s="7"/>
      <c r="Q56" s="7"/>
      <c r="R56" s="7"/>
      <c r="S56" s="7"/>
      <c r="T56" s="7"/>
      <c r="U56" s="7"/>
      <c r="V56" s="7"/>
      <c r="W56" s="7"/>
    </row>
    <row r="57" spans="1:23" x14ac:dyDescent="0.25">
      <c r="A57" s="7"/>
      <c r="B57" s="7"/>
      <c r="C57" s="7"/>
      <c r="D57" s="7"/>
      <c r="E57" s="7"/>
      <c r="F57" s="7"/>
      <c r="G57" s="7"/>
      <c r="H57" s="7"/>
      <c r="I57" s="7"/>
      <c r="J57" s="7"/>
      <c r="K57" s="7"/>
      <c r="L57" s="7"/>
      <c r="M57" s="7"/>
      <c r="N57" s="7"/>
      <c r="O57" s="7"/>
      <c r="P57" s="7"/>
      <c r="Q57" s="7"/>
      <c r="R57" s="7"/>
      <c r="S57" s="7"/>
      <c r="T57" s="7"/>
      <c r="U57" s="7"/>
      <c r="V57" s="7"/>
      <c r="W57" s="7"/>
    </row>
    <row r="58" spans="1:23" x14ac:dyDescent="0.25">
      <c r="A58" s="7"/>
      <c r="B58" s="7"/>
      <c r="C58" s="7"/>
      <c r="D58" s="7"/>
      <c r="E58" s="7"/>
      <c r="F58" s="7"/>
      <c r="G58" s="7"/>
      <c r="H58" s="7"/>
      <c r="I58" s="7"/>
      <c r="J58" s="7"/>
      <c r="K58" s="7"/>
      <c r="L58" s="7"/>
      <c r="M58" s="7"/>
      <c r="N58" s="7"/>
      <c r="O58" s="7"/>
      <c r="P58" s="7"/>
      <c r="Q58" s="7"/>
      <c r="R58" s="7"/>
      <c r="S58" s="7"/>
      <c r="T58" s="7"/>
      <c r="U58" s="7"/>
      <c r="V58" s="7"/>
      <c r="W58" s="7"/>
    </row>
    <row r="59" spans="1:23" x14ac:dyDescent="0.25">
      <c r="A59" s="7"/>
      <c r="B59" s="7"/>
      <c r="C59" s="7"/>
      <c r="D59" s="7"/>
      <c r="E59" s="7"/>
      <c r="F59" s="7"/>
      <c r="G59" s="7"/>
      <c r="H59" s="7"/>
      <c r="I59" s="7"/>
      <c r="J59" s="7"/>
      <c r="K59" s="7"/>
      <c r="L59" s="7"/>
      <c r="M59" s="7"/>
      <c r="N59" s="7"/>
      <c r="O59" s="7"/>
      <c r="P59" s="7"/>
      <c r="Q59" s="7"/>
      <c r="R59" s="7"/>
      <c r="S59" s="7"/>
      <c r="T59" s="7"/>
      <c r="U59" s="7"/>
      <c r="V59" s="7"/>
      <c r="W59" s="7"/>
    </row>
    <row r="60" spans="1:23" x14ac:dyDescent="0.25">
      <c r="A60" s="7"/>
      <c r="B60" s="7"/>
      <c r="C60" s="7"/>
      <c r="D60" s="7"/>
      <c r="E60" s="7"/>
      <c r="F60" s="7"/>
      <c r="G60" s="7"/>
      <c r="H60" s="7"/>
      <c r="I60" s="7"/>
      <c r="J60" s="7"/>
      <c r="K60" s="7"/>
      <c r="L60" s="7"/>
      <c r="M60" s="7"/>
      <c r="N60" s="7"/>
      <c r="O60" s="7"/>
      <c r="P60" s="7"/>
      <c r="Q60" s="7"/>
      <c r="R60" s="7"/>
      <c r="S60" s="7"/>
      <c r="T60" s="7"/>
      <c r="U60" s="7"/>
      <c r="V60" s="7"/>
      <c r="W60" s="7"/>
    </row>
    <row r="61" spans="1:23" x14ac:dyDescent="0.25">
      <c r="A61" s="7"/>
      <c r="B61" s="7"/>
      <c r="C61" s="7"/>
      <c r="D61" s="7"/>
      <c r="E61" s="7"/>
      <c r="F61" s="7"/>
      <c r="G61" s="7"/>
      <c r="H61" s="7"/>
      <c r="I61" s="7"/>
      <c r="J61" s="7"/>
      <c r="K61" s="7"/>
      <c r="L61" s="7"/>
      <c r="M61" s="7"/>
      <c r="N61" s="7"/>
      <c r="O61" s="7"/>
      <c r="P61" s="7"/>
      <c r="Q61" s="7"/>
      <c r="R61" s="7"/>
      <c r="S61" s="7"/>
      <c r="T61" s="7"/>
      <c r="U61" s="7"/>
      <c r="V61" s="7"/>
      <c r="W61" s="7"/>
    </row>
    <row r="62" spans="1:23" x14ac:dyDescent="0.25">
      <c r="A62" s="7"/>
      <c r="B62" s="7"/>
      <c r="C62" s="7"/>
      <c r="D62" s="7"/>
      <c r="E62" s="7"/>
      <c r="F62" s="7"/>
      <c r="G62" s="7"/>
      <c r="H62" s="7"/>
      <c r="I62" s="7"/>
      <c r="J62" s="7"/>
      <c r="K62" s="7"/>
      <c r="L62" s="7"/>
      <c r="M62" s="7"/>
      <c r="N62" s="7"/>
      <c r="O62" s="7"/>
      <c r="P62" s="7"/>
      <c r="Q62" s="7"/>
      <c r="R62" s="7"/>
      <c r="S62" s="7"/>
      <c r="T62" s="7"/>
      <c r="U62" s="7"/>
      <c r="V62" s="7"/>
      <c r="W62" s="7"/>
    </row>
    <row r="63" spans="1:23" x14ac:dyDescent="0.25">
      <c r="A63" s="7"/>
      <c r="B63" s="7"/>
      <c r="C63" s="7"/>
      <c r="D63" s="7"/>
      <c r="E63" s="7"/>
      <c r="F63" s="7"/>
      <c r="G63" s="7"/>
      <c r="H63" s="7"/>
      <c r="I63" s="7"/>
      <c r="J63" s="7"/>
      <c r="K63" s="7"/>
      <c r="L63" s="7"/>
      <c r="M63" s="7"/>
      <c r="N63" s="7"/>
      <c r="O63" s="7"/>
      <c r="P63" s="7"/>
      <c r="Q63" s="7"/>
      <c r="R63" s="7"/>
      <c r="S63" s="7"/>
      <c r="T63" s="7"/>
      <c r="U63" s="7"/>
      <c r="V63" s="7"/>
      <c r="W63" s="7"/>
    </row>
    <row r="64" spans="1:23" x14ac:dyDescent="0.25">
      <c r="A64" s="7"/>
      <c r="B64" s="7"/>
      <c r="C64" s="7"/>
      <c r="D64" s="7"/>
      <c r="E64" s="7"/>
      <c r="F64" s="7"/>
      <c r="G64" s="7"/>
      <c r="H64" s="7"/>
      <c r="I64" s="7"/>
      <c r="J64" s="7"/>
      <c r="K64" s="7"/>
      <c r="L64" s="7"/>
      <c r="M64" s="7"/>
      <c r="N64" s="7"/>
      <c r="O64" s="7"/>
      <c r="P64" s="7"/>
      <c r="Q64" s="7"/>
      <c r="R64" s="7"/>
      <c r="S64" s="7"/>
      <c r="T64" s="7"/>
      <c r="U64" s="7"/>
      <c r="V64" s="7"/>
      <c r="W64" s="7"/>
    </row>
    <row r="65" spans="1:23" x14ac:dyDescent="0.25">
      <c r="A65" s="7"/>
      <c r="B65" s="7"/>
      <c r="C65" s="7"/>
      <c r="D65" s="7"/>
      <c r="E65" s="7"/>
      <c r="F65" s="7"/>
      <c r="G65" s="7"/>
      <c r="H65" s="7"/>
      <c r="I65" s="7"/>
      <c r="J65" s="7"/>
      <c r="K65" s="7"/>
      <c r="L65" s="7"/>
      <c r="M65" s="7"/>
      <c r="N65" s="7"/>
      <c r="O65" s="7"/>
      <c r="P65" s="7"/>
      <c r="Q65" s="7"/>
      <c r="R65" s="7"/>
      <c r="S65" s="7"/>
      <c r="T65" s="7"/>
      <c r="U65" s="7"/>
      <c r="V65" s="7"/>
      <c r="W65" s="7"/>
    </row>
    <row r="66" spans="1:23" x14ac:dyDescent="0.25">
      <c r="A66" s="7"/>
      <c r="B66" s="7"/>
      <c r="C66" s="7"/>
      <c r="D66" s="7"/>
      <c r="E66" s="7"/>
      <c r="F66" s="7"/>
      <c r="G66" s="7"/>
      <c r="H66" s="7"/>
      <c r="I66" s="7"/>
      <c r="J66" s="7"/>
      <c r="K66" s="7"/>
      <c r="L66" s="7"/>
      <c r="M66" s="7"/>
      <c r="N66" s="7"/>
      <c r="O66" s="7"/>
      <c r="P66" s="7"/>
      <c r="Q66" s="7"/>
      <c r="R66" s="7"/>
      <c r="S66" s="7"/>
      <c r="T66" s="7"/>
      <c r="U66" s="7"/>
      <c r="V66" s="7"/>
      <c r="W66" s="7"/>
    </row>
    <row r="67" spans="1:23" x14ac:dyDescent="0.25">
      <c r="A67" s="7"/>
      <c r="B67" s="7"/>
      <c r="C67" s="7"/>
      <c r="D67" s="7"/>
      <c r="E67" s="7"/>
      <c r="F67" s="7"/>
      <c r="G67" s="7"/>
      <c r="H67" s="7"/>
      <c r="I67" s="7"/>
      <c r="J67" s="7"/>
      <c r="K67" s="7"/>
      <c r="L67" s="7"/>
      <c r="M67" s="7"/>
      <c r="N67" s="7"/>
      <c r="O67" s="7"/>
      <c r="P67" s="7"/>
      <c r="Q67" s="7"/>
      <c r="R67" s="7"/>
      <c r="S67" s="7"/>
      <c r="T67" s="7"/>
      <c r="U67" s="7"/>
      <c r="V67" s="7"/>
      <c r="W67" s="7"/>
    </row>
    <row r="68" spans="1:23" x14ac:dyDescent="0.25">
      <c r="A68" s="7"/>
      <c r="B68" s="7"/>
      <c r="C68" s="7"/>
      <c r="D68" s="7"/>
      <c r="E68" s="7"/>
      <c r="F68" s="7"/>
      <c r="G68" s="7"/>
      <c r="H68" s="7"/>
      <c r="I68" s="7"/>
      <c r="J68" s="7"/>
      <c r="K68" s="7"/>
      <c r="L68" s="7"/>
      <c r="M68" s="7"/>
      <c r="N68" s="7"/>
      <c r="O68" s="7"/>
      <c r="P68" s="7"/>
      <c r="Q68" s="7"/>
      <c r="R68" s="7"/>
      <c r="S68" s="7"/>
      <c r="T68" s="7"/>
      <c r="U68" s="7"/>
      <c r="V68" s="7"/>
      <c r="W68" s="7"/>
    </row>
    <row r="69" spans="1:23" x14ac:dyDescent="0.25">
      <c r="A69" s="7"/>
      <c r="B69" s="7"/>
      <c r="C69" s="7"/>
      <c r="D69" s="7"/>
      <c r="E69" s="7"/>
      <c r="F69" s="7"/>
      <c r="G69" s="7"/>
      <c r="H69" s="7"/>
      <c r="I69" s="7"/>
      <c r="J69" s="7"/>
      <c r="K69" s="7"/>
      <c r="L69" s="7"/>
      <c r="M69" s="7"/>
      <c r="N69" s="7"/>
      <c r="O69" s="7"/>
      <c r="P69" s="7"/>
      <c r="Q69" s="7"/>
      <c r="R69" s="7"/>
      <c r="S69" s="7"/>
      <c r="T69" s="7"/>
      <c r="U69" s="7"/>
      <c r="V69" s="7"/>
      <c r="W69" s="7"/>
    </row>
    <row r="70" spans="1:23" x14ac:dyDescent="0.25">
      <c r="A70" s="7"/>
      <c r="B70" s="7"/>
      <c r="C70" s="7"/>
      <c r="D70" s="7"/>
      <c r="E70" s="7"/>
      <c r="F70" s="7"/>
      <c r="G70" s="7"/>
      <c r="H70" s="7"/>
      <c r="I70" s="7"/>
      <c r="J70" s="7"/>
      <c r="K70" s="7"/>
      <c r="L70" s="7"/>
      <c r="M70" s="7"/>
      <c r="N70" s="7"/>
      <c r="O70" s="7"/>
      <c r="P70" s="7"/>
      <c r="Q70" s="7"/>
      <c r="R70" s="7"/>
      <c r="S70" s="7"/>
      <c r="T70" s="7"/>
      <c r="U70" s="7"/>
      <c r="V70" s="7"/>
      <c r="W70" s="7"/>
    </row>
    <row r="71" spans="1:23" x14ac:dyDescent="0.25">
      <c r="A71" s="7"/>
      <c r="B71" s="7"/>
      <c r="C71" s="7"/>
      <c r="D71" s="7"/>
      <c r="E71" s="7"/>
      <c r="F71" s="7"/>
      <c r="G71" s="7"/>
      <c r="H71" s="7"/>
      <c r="I71" s="7"/>
      <c r="J71" s="7"/>
      <c r="K71" s="7"/>
      <c r="L71" s="7"/>
      <c r="M71" s="7"/>
      <c r="N71" s="7"/>
      <c r="O71" s="7"/>
      <c r="P71" s="7"/>
      <c r="Q71" s="7"/>
      <c r="R71" s="7"/>
      <c r="S71" s="7"/>
      <c r="T71" s="7"/>
      <c r="U71" s="7"/>
      <c r="V71" s="7"/>
      <c r="W71" s="7"/>
    </row>
    <row r="72" spans="1:23" x14ac:dyDescent="0.25">
      <c r="A72" s="7"/>
      <c r="B72" s="7"/>
      <c r="C72" s="7"/>
      <c r="D72" s="7"/>
      <c r="E72" s="7"/>
      <c r="F72" s="7"/>
      <c r="G72" s="7"/>
      <c r="H72" s="7"/>
      <c r="I72" s="7"/>
      <c r="J72" s="7"/>
      <c r="K72" s="7"/>
      <c r="L72" s="7"/>
      <c r="M72" s="7"/>
      <c r="N72" s="7"/>
      <c r="O72" s="7"/>
      <c r="P72" s="7"/>
      <c r="Q72" s="7"/>
      <c r="R72" s="7"/>
      <c r="S72" s="7"/>
      <c r="T72" s="7"/>
      <c r="U72" s="7"/>
      <c r="V72" s="7"/>
      <c r="W72" s="7"/>
    </row>
    <row r="73" spans="1:23" x14ac:dyDescent="0.25">
      <c r="A73" s="7"/>
      <c r="B73" s="7"/>
      <c r="C73" s="7"/>
      <c r="D73" s="7"/>
      <c r="E73" s="7"/>
      <c r="F73" s="7"/>
      <c r="G73" s="7"/>
      <c r="H73" s="7"/>
      <c r="I73" s="7"/>
      <c r="J73" s="7"/>
      <c r="K73" s="7"/>
      <c r="L73" s="7"/>
      <c r="M73" s="7"/>
      <c r="N73" s="7"/>
      <c r="O73" s="7"/>
      <c r="P73" s="7"/>
      <c r="Q73" s="7"/>
      <c r="R73" s="7"/>
      <c r="S73" s="7"/>
      <c r="T73" s="7"/>
      <c r="U73" s="7"/>
      <c r="V73" s="7"/>
      <c r="W73" s="7"/>
    </row>
    <row r="74" spans="1:23" x14ac:dyDescent="0.25">
      <c r="A74" s="7"/>
      <c r="B74" s="7"/>
      <c r="C74" s="7"/>
      <c r="D74" s="7"/>
      <c r="E74" s="7"/>
      <c r="F74" s="7"/>
      <c r="G74" s="7"/>
      <c r="H74" s="7"/>
      <c r="I74" s="7"/>
      <c r="J74" s="7"/>
      <c r="K74" s="7"/>
      <c r="L74" s="7"/>
      <c r="M74" s="7"/>
      <c r="N74" s="7"/>
      <c r="O74" s="7"/>
      <c r="P74" s="7"/>
      <c r="Q74" s="7"/>
      <c r="R74" s="7"/>
      <c r="S74" s="7"/>
      <c r="T74" s="7"/>
      <c r="U74" s="7"/>
      <c r="V74" s="7"/>
      <c r="W74" s="7"/>
    </row>
    <row r="75" spans="1:23" x14ac:dyDescent="0.25">
      <c r="A75" s="7"/>
      <c r="B75" s="7"/>
      <c r="C75" s="7"/>
      <c r="D75" s="7"/>
      <c r="E75" s="7"/>
      <c r="F75" s="7"/>
      <c r="G75" s="7"/>
      <c r="H75" s="7"/>
      <c r="I75" s="7"/>
      <c r="J75" s="7"/>
      <c r="K75" s="7"/>
      <c r="L75" s="7"/>
      <c r="M75" s="7"/>
      <c r="N75" s="7"/>
      <c r="O75" s="7"/>
      <c r="P75" s="7"/>
      <c r="Q75" s="7"/>
      <c r="R75" s="7"/>
      <c r="S75" s="7"/>
      <c r="T75" s="7"/>
      <c r="U75" s="7"/>
      <c r="V75" s="7"/>
      <c r="W75" s="7"/>
    </row>
    <row r="76" spans="1:23" x14ac:dyDescent="0.25">
      <c r="A76" s="7"/>
      <c r="B76" s="7"/>
      <c r="C76" s="7"/>
      <c r="D76" s="7"/>
      <c r="E76" s="7"/>
      <c r="F76" s="7"/>
      <c r="G76" s="7"/>
      <c r="H76" s="7"/>
      <c r="I76" s="7"/>
      <c r="J76" s="7"/>
      <c r="K76" s="7"/>
      <c r="L76" s="7"/>
      <c r="M76" s="7"/>
      <c r="N76" s="7"/>
      <c r="O76" s="7"/>
      <c r="P76" s="7"/>
      <c r="Q76" s="7"/>
      <c r="R76" s="7"/>
      <c r="S76" s="7"/>
      <c r="T76" s="7"/>
      <c r="U76" s="7"/>
      <c r="V76" s="7"/>
      <c r="W76" s="7"/>
    </row>
    <row r="77" spans="1:23" x14ac:dyDescent="0.25">
      <c r="A77" s="7"/>
      <c r="B77" s="7"/>
      <c r="C77" s="7"/>
      <c r="D77" s="7"/>
      <c r="E77" s="7"/>
      <c r="F77" s="7"/>
      <c r="G77" s="7"/>
      <c r="H77" s="7"/>
      <c r="I77" s="7"/>
      <c r="J77" s="7"/>
      <c r="K77" s="7"/>
      <c r="L77" s="7"/>
      <c r="M77" s="7"/>
      <c r="N77" s="7"/>
      <c r="O77" s="7"/>
      <c r="P77" s="7"/>
      <c r="Q77" s="7"/>
      <c r="R77" s="7"/>
      <c r="S77" s="7"/>
      <c r="T77" s="7"/>
      <c r="U77" s="7"/>
      <c r="V77" s="7"/>
      <c r="W77" s="7"/>
    </row>
    <row r="78" spans="1:23" x14ac:dyDescent="0.25">
      <c r="A78" s="7"/>
      <c r="B78" s="7"/>
      <c r="C78" s="7"/>
      <c r="D78" s="7"/>
      <c r="E78" s="7"/>
      <c r="F78" s="7"/>
      <c r="G78" s="7"/>
      <c r="H78" s="7"/>
      <c r="I78" s="7"/>
      <c r="J78" s="7"/>
      <c r="K78" s="7"/>
      <c r="L78" s="7"/>
      <c r="M78" s="7"/>
      <c r="N78" s="7"/>
      <c r="O78" s="7"/>
      <c r="P78" s="7"/>
      <c r="Q78" s="7"/>
      <c r="R78" s="7"/>
      <c r="S78" s="7"/>
      <c r="T78" s="7"/>
      <c r="U78" s="7"/>
      <c r="V78" s="7"/>
      <c r="W78" s="7"/>
    </row>
    <row r="79" spans="1:23" x14ac:dyDescent="0.25">
      <c r="A79" s="7"/>
      <c r="B79" s="7"/>
      <c r="C79" s="7"/>
      <c r="D79" s="7"/>
      <c r="E79" s="7"/>
      <c r="F79" s="7"/>
      <c r="G79" s="7"/>
      <c r="H79" s="7"/>
      <c r="I79" s="7"/>
      <c r="J79" s="7"/>
      <c r="K79" s="7"/>
      <c r="L79" s="7"/>
      <c r="M79" s="7"/>
      <c r="N79" s="7"/>
      <c r="O79" s="7"/>
      <c r="P79" s="7"/>
      <c r="Q79" s="7"/>
      <c r="R79" s="7"/>
      <c r="S79" s="7"/>
      <c r="T79" s="7"/>
      <c r="U79" s="7"/>
      <c r="V79" s="7"/>
      <c r="W79" s="7"/>
    </row>
    <row r="80" spans="1:23" x14ac:dyDescent="0.25">
      <c r="A80" s="7"/>
      <c r="B80" s="7"/>
      <c r="C80" s="7"/>
      <c r="D80" s="7"/>
      <c r="E80" s="7"/>
      <c r="F80" s="7"/>
      <c r="G80" s="7"/>
      <c r="H80" s="7"/>
      <c r="I80" s="7"/>
      <c r="J80" s="7"/>
      <c r="K80" s="7"/>
      <c r="L80" s="7"/>
      <c r="M80" s="7"/>
      <c r="N80" s="7"/>
      <c r="O80" s="7"/>
      <c r="P80" s="7"/>
      <c r="Q80" s="7"/>
      <c r="R80" s="7"/>
      <c r="S80" s="7"/>
      <c r="T80" s="7"/>
      <c r="U80" s="7"/>
      <c r="V80" s="7"/>
      <c r="W80" s="7"/>
    </row>
    <row r="81" spans="1:23" x14ac:dyDescent="0.25">
      <c r="A81" s="7"/>
      <c r="B81" s="7"/>
      <c r="C81" s="7"/>
      <c r="D81" s="7"/>
      <c r="E81" s="7"/>
      <c r="F81" s="7"/>
      <c r="G81" s="7"/>
      <c r="H81" s="7"/>
      <c r="I81" s="7"/>
      <c r="J81" s="7"/>
      <c r="K81" s="7"/>
      <c r="L81" s="7"/>
      <c r="M81" s="7"/>
      <c r="N81" s="7"/>
      <c r="O81" s="7"/>
      <c r="P81" s="7"/>
      <c r="Q81" s="7"/>
      <c r="R81" s="7"/>
      <c r="S81" s="7"/>
      <c r="T81" s="7"/>
      <c r="U81" s="7"/>
      <c r="V81" s="7"/>
      <c r="W81" s="7"/>
    </row>
    <row r="82" spans="1:23" x14ac:dyDescent="0.25">
      <c r="A82" s="7"/>
      <c r="B82" s="7"/>
      <c r="C82" s="7"/>
      <c r="D82" s="7"/>
      <c r="E82" s="7"/>
      <c r="F82" s="7"/>
      <c r="G82" s="7"/>
      <c r="H82" s="7"/>
      <c r="I82" s="7"/>
      <c r="J82" s="7"/>
      <c r="K82" s="7"/>
      <c r="L82" s="7"/>
      <c r="M82" s="7"/>
      <c r="N82" s="7"/>
      <c r="O82" s="7"/>
      <c r="P82" s="7"/>
      <c r="Q82" s="7"/>
      <c r="R82" s="7"/>
      <c r="S82" s="7"/>
      <c r="T82" s="7"/>
      <c r="U82" s="7"/>
      <c r="V82" s="7"/>
      <c r="W82" s="7"/>
    </row>
    <row r="83" spans="1:23" x14ac:dyDescent="0.25">
      <c r="A83" s="7"/>
      <c r="B83" s="7"/>
      <c r="C83" s="7"/>
      <c r="D83" s="7"/>
      <c r="E83" s="7"/>
      <c r="F83" s="7"/>
      <c r="G83" s="7"/>
      <c r="H83" s="7"/>
      <c r="I83" s="7"/>
      <c r="J83" s="7"/>
      <c r="K83" s="7"/>
      <c r="L83" s="7"/>
      <c r="M83" s="7"/>
      <c r="N83" s="7"/>
      <c r="O83" s="7"/>
      <c r="P83" s="7"/>
      <c r="Q83" s="7"/>
      <c r="R83" s="7"/>
      <c r="S83" s="7"/>
      <c r="T83" s="7"/>
      <c r="U83" s="7"/>
      <c r="V83" s="7"/>
      <c r="W83" s="7"/>
    </row>
    <row r="84" spans="1:23" x14ac:dyDescent="0.25">
      <c r="A84" s="7"/>
      <c r="B84" s="7"/>
      <c r="C84" s="7"/>
      <c r="D84" s="7"/>
      <c r="E84" s="7"/>
      <c r="F84" s="7"/>
      <c r="G84" s="7"/>
      <c r="H84" s="7"/>
      <c r="I84" s="7"/>
      <c r="J84" s="7"/>
      <c r="K84" s="7"/>
      <c r="L84" s="7"/>
      <c r="M84" s="7"/>
      <c r="N84" s="7"/>
      <c r="O84" s="7"/>
      <c r="P84" s="7"/>
      <c r="Q84" s="7"/>
      <c r="R84" s="7"/>
      <c r="S84" s="7"/>
      <c r="T84" s="7"/>
      <c r="U84" s="7"/>
      <c r="V84" s="7"/>
      <c r="W84" s="7"/>
    </row>
    <row r="85" spans="1:23" x14ac:dyDescent="0.25">
      <c r="A85" s="7"/>
      <c r="B85" s="7"/>
      <c r="C85" s="7"/>
      <c r="D85" s="7"/>
      <c r="E85" s="7"/>
      <c r="F85" s="7"/>
      <c r="G85" s="7"/>
      <c r="H85" s="7"/>
      <c r="I85" s="7"/>
      <c r="J85" s="7"/>
      <c r="K85" s="7"/>
      <c r="L85" s="7"/>
      <c r="M85" s="7"/>
      <c r="N85" s="7"/>
      <c r="O85" s="7"/>
      <c r="P85" s="7"/>
      <c r="Q85" s="7"/>
      <c r="R85" s="7"/>
      <c r="S85" s="7"/>
      <c r="T85" s="7"/>
      <c r="U85" s="7"/>
      <c r="V85" s="7"/>
      <c r="W85" s="7"/>
    </row>
    <row r="86" spans="1:23" x14ac:dyDescent="0.25">
      <c r="A86" s="7"/>
      <c r="B86" s="7"/>
      <c r="C86" s="7"/>
      <c r="D86" s="7"/>
      <c r="E86" s="7"/>
      <c r="F86" s="7"/>
      <c r="G86" s="7"/>
      <c r="H86" s="7"/>
      <c r="I86" s="7"/>
      <c r="J86" s="7"/>
      <c r="K86" s="7"/>
      <c r="L86" s="7"/>
      <c r="M86" s="7"/>
      <c r="N86" s="7"/>
      <c r="O86" s="7"/>
      <c r="P86" s="7"/>
      <c r="Q86" s="7"/>
      <c r="R86" s="7"/>
      <c r="S86" s="7"/>
      <c r="T86" s="7"/>
      <c r="U86" s="7"/>
      <c r="V86" s="7"/>
      <c r="W86" s="7"/>
    </row>
    <row r="87" spans="1:23" x14ac:dyDescent="0.25">
      <c r="A87" s="7"/>
      <c r="B87" s="7"/>
      <c r="C87" s="7"/>
      <c r="D87" s="7"/>
      <c r="E87" s="7"/>
      <c r="F87" s="7"/>
      <c r="G87" s="7"/>
      <c r="H87" s="7"/>
      <c r="I87" s="7"/>
      <c r="J87" s="7"/>
      <c r="K87" s="7"/>
      <c r="L87" s="7"/>
      <c r="M87" s="7"/>
      <c r="N87" s="7"/>
      <c r="O87" s="7"/>
      <c r="P87" s="7"/>
      <c r="Q87" s="7"/>
      <c r="R87" s="7"/>
      <c r="S87" s="7"/>
      <c r="T87" s="7"/>
      <c r="U87" s="7"/>
      <c r="V87" s="7"/>
      <c r="W87" s="7"/>
    </row>
    <row r="88" spans="1:23" x14ac:dyDescent="0.25">
      <c r="A88" s="7"/>
      <c r="B88" s="7"/>
      <c r="C88" s="7"/>
      <c r="D88" s="7"/>
      <c r="E88" s="7"/>
      <c r="F88" s="7"/>
      <c r="G88" s="7"/>
      <c r="H88" s="7"/>
      <c r="I88" s="7"/>
      <c r="J88" s="7"/>
      <c r="K88" s="7"/>
      <c r="L88" s="7"/>
      <c r="M88" s="7"/>
      <c r="N88" s="7"/>
      <c r="O88" s="7"/>
      <c r="P88" s="7"/>
      <c r="Q88" s="7"/>
      <c r="R88" s="7"/>
      <c r="S88" s="7"/>
      <c r="T88" s="7"/>
      <c r="U88" s="7"/>
      <c r="V88" s="7"/>
      <c r="W88" s="7"/>
    </row>
    <row r="89" spans="1:23" x14ac:dyDescent="0.25">
      <c r="A89" s="7"/>
      <c r="B89" s="7"/>
      <c r="C89" s="7"/>
      <c r="D89" s="7"/>
      <c r="E89" s="7"/>
      <c r="F89" s="7"/>
      <c r="G89" s="7"/>
      <c r="H89" s="7"/>
      <c r="I89" s="7"/>
      <c r="J89" s="7"/>
      <c r="K89" s="7"/>
      <c r="L89" s="7"/>
      <c r="M89" s="7"/>
      <c r="N89" s="7"/>
      <c r="O89" s="7"/>
      <c r="P89" s="7"/>
      <c r="Q89" s="7"/>
      <c r="R89" s="7"/>
      <c r="S89" s="7"/>
      <c r="T89" s="7"/>
      <c r="U89" s="7"/>
      <c r="V89" s="7"/>
      <c r="W89" s="7"/>
    </row>
    <row r="90" spans="1:23" x14ac:dyDescent="0.25">
      <c r="A90" s="7"/>
      <c r="B90" s="7"/>
      <c r="C90" s="7"/>
      <c r="D90" s="7"/>
      <c r="E90" s="7"/>
      <c r="F90" s="7"/>
      <c r="G90" s="7"/>
      <c r="H90" s="7"/>
      <c r="I90" s="7"/>
      <c r="J90" s="7"/>
      <c r="K90" s="7"/>
      <c r="L90" s="7"/>
      <c r="M90" s="7"/>
      <c r="N90" s="7"/>
      <c r="O90" s="7"/>
      <c r="P90" s="7"/>
      <c r="Q90" s="7"/>
      <c r="R90" s="7"/>
      <c r="S90" s="7"/>
      <c r="T90" s="7"/>
      <c r="U90" s="7"/>
      <c r="V90" s="7"/>
      <c r="W90" s="7"/>
    </row>
    <row r="91" spans="1:23" x14ac:dyDescent="0.25">
      <c r="A91" s="7"/>
      <c r="B91" s="7"/>
      <c r="C91" s="7"/>
      <c r="D91" s="7"/>
      <c r="E91" s="7"/>
      <c r="F91" s="7"/>
      <c r="G91" s="7"/>
      <c r="H91" s="7"/>
      <c r="I91" s="7"/>
      <c r="J91" s="7"/>
      <c r="K91" s="7"/>
      <c r="L91" s="7"/>
      <c r="M91" s="7"/>
      <c r="N91" s="7"/>
      <c r="O91" s="7"/>
      <c r="P91" s="7"/>
      <c r="Q91" s="7"/>
      <c r="R91" s="7"/>
      <c r="S91" s="7"/>
      <c r="T91" s="7"/>
      <c r="U91" s="7"/>
      <c r="V91" s="7"/>
      <c r="W91" s="7"/>
    </row>
    <row r="92" spans="1:23" x14ac:dyDescent="0.25">
      <c r="A92" s="7"/>
      <c r="B92" s="7"/>
      <c r="C92" s="7"/>
      <c r="D92" s="7"/>
      <c r="E92" s="7"/>
      <c r="F92" s="7"/>
      <c r="G92" s="7"/>
      <c r="H92" s="7"/>
      <c r="I92" s="7"/>
      <c r="J92" s="7"/>
      <c r="K92" s="7"/>
      <c r="L92" s="7"/>
      <c r="M92" s="7"/>
      <c r="N92" s="7"/>
      <c r="O92" s="7"/>
      <c r="P92" s="7"/>
      <c r="Q92" s="7"/>
      <c r="R92" s="7"/>
      <c r="S92" s="7"/>
      <c r="T92" s="7"/>
      <c r="U92" s="7"/>
      <c r="V92" s="7"/>
      <c r="W92" s="7"/>
    </row>
    <row r="93" spans="1:23" x14ac:dyDescent="0.25">
      <c r="A93" s="7"/>
      <c r="B93" s="7"/>
      <c r="C93" s="7"/>
      <c r="D93" s="7"/>
      <c r="E93" s="7"/>
      <c r="F93" s="7"/>
      <c r="G93" s="7"/>
      <c r="H93" s="7"/>
      <c r="I93" s="7"/>
      <c r="J93" s="7"/>
      <c r="K93" s="7"/>
      <c r="L93" s="7"/>
      <c r="M93" s="7"/>
      <c r="N93" s="7"/>
      <c r="O93" s="7"/>
      <c r="P93" s="7"/>
      <c r="Q93" s="7"/>
      <c r="R93" s="7"/>
      <c r="S93" s="7"/>
      <c r="T93" s="7"/>
      <c r="U93" s="7"/>
      <c r="V93" s="7"/>
      <c r="W93" s="7"/>
    </row>
    <row r="94" spans="1:23" x14ac:dyDescent="0.25">
      <c r="A94" s="7"/>
      <c r="B94" s="7"/>
      <c r="C94" s="7"/>
      <c r="D94" s="7"/>
      <c r="E94" s="7"/>
      <c r="F94" s="7"/>
      <c r="G94" s="7"/>
      <c r="H94" s="7"/>
      <c r="I94" s="7"/>
      <c r="J94" s="7"/>
      <c r="K94" s="7"/>
      <c r="L94" s="7"/>
      <c r="M94" s="7"/>
      <c r="N94" s="7"/>
      <c r="O94" s="7"/>
      <c r="P94" s="7"/>
      <c r="Q94" s="7"/>
      <c r="R94" s="7"/>
      <c r="S94" s="7"/>
      <c r="T94" s="7"/>
      <c r="U94" s="7"/>
      <c r="V94" s="7"/>
      <c r="W94" s="7"/>
    </row>
    <row r="95" spans="1:23" x14ac:dyDescent="0.25">
      <c r="A95" s="7"/>
      <c r="B95" s="7"/>
      <c r="C95" s="7"/>
      <c r="D95" s="7"/>
      <c r="E95" s="7"/>
      <c r="F95" s="7"/>
      <c r="G95" s="7"/>
      <c r="H95" s="7"/>
      <c r="I95" s="7"/>
      <c r="J95" s="7"/>
      <c r="K95" s="7"/>
      <c r="L95" s="7"/>
      <c r="M95" s="7"/>
      <c r="N95" s="7"/>
      <c r="O95" s="7"/>
      <c r="P95" s="7"/>
      <c r="Q95" s="7"/>
      <c r="R95" s="7"/>
      <c r="S95" s="7"/>
      <c r="T95" s="7"/>
      <c r="U95" s="7"/>
      <c r="V95" s="7"/>
      <c r="W95" s="7"/>
    </row>
    <row r="96" spans="1:23" x14ac:dyDescent="0.25">
      <c r="A96" s="7"/>
      <c r="B96" s="7"/>
      <c r="C96" s="7"/>
      <c r="D96" s="7"/>
      <c r="E96" s="7"/>
      <c r="F96" s="7"/>
      <c r="G96" s="7"/>
      <c r="H96" s="7"/>
      <c r="I96" s="7"/>
      <c r="J96" s="7"/>
      <c r="K96" s="7"/>
      <c r="L96" s="7"/>
      <c r="M96" s="7"/>
      <c r="N96" s="7"/>
      <c r="O96" s="7"/>
      <c r="P96" s="7"/>
      <c r="Q96" s="7"/>
      <c r="R96" s="7"/>
      <c r="S96" s="7"/>
      <c r="T96" s="7"/>
      <c r="U96" s="7"/>
      <c r="V96" s="7"/>
      <c r="W96" s="7"/>
    </row>
    <row r="97" spans="1:23" x14ac:dyDescent="0.25">
      <c r="A97" s="7"/>
      <c r="B97" s="7"/>
      <c r="C97" s="7"/>
      <c r="D97" s="7"/>
      <c r="E97" s="7"/>
      <c r="F97" s="7"/>
      <c r="G97" s="7"/>
      <c r="H97" s="7"/>
      <c r="I97" s="7"/>
      <c r="J97" s="7"/>
      <c r="K97" s="7"/>
      <c r="L97" s="7"/>
      <c r="M97" s="7"/>
      <c r="N97" s="7"/>
      <c r="O97" s="7"/>
      <c r="P97" s="7"/>
      <c r="Q97" s="7"/>
      <c r="R97" s="7"/>
      <c r="S97" s="7"/>
      <c r="T97" s="7"/>
      <c r="U97" s="7"/>
      <c r="V97" s="7"/>
      <c r="W97" s="7"/>
    </row>
    <row r="98" spans="1:23" x14ac:dyDescent="0.25">
      <c r="A98" s="7"/>
      <c r="B98" s="7"/>
      <c r="C98" s="7"/>
      <c r="D98" s="7"/>
      <c r="E98" s="7"/>
      <c r="F98" s="7"/>
      <c r="G98" s="7"/>
      <c r="H98" s="7"/>
      <c r="I98" s="7"/>
      <c r="J98" s="7"/>
      <c r="K98" s="7"/>
      <c r="L98" s="7"/>
      <c r="M98" s="7"/>
      <c r="N98" s="7"/>
      <c r="O98" s="7"/>
      <c r="P98" s="7"/>
      <c r="Q98" s="7"/>
      <c r="R98" s="7"/>
      <c r="S98" s="7"/>
      <c r="T98" s="7"/>
      <c r="U98" s="7"/>
      <c r="V98" s="7"/>
      <c r="W98" s="7"/>
    </row>
    <row r="99" spans="1:23" x14ac:dyDescent="0.25">
      <c r="A99" s="7"/>
      <c r="B99" s="7"/>
      <c r="C99" s="7"/>
      <c r="D99" s="7"/>
      <c r="E99" s="7"/>
      <c r="F99" s="7"/>
      <c r="G99" s="7"/>
      <c r="H99" s="7"/>
      <c r="I99" s="7"/>
      <c r="J99" s="7"/>
      <c r="K99" s="7"/>
      <c r="L99" s="7"/>
      <c r="M99" s="7"/>
      <c r="N99" s="7"/>
      <c r="O99" s="7"/>
      <c r="P99" s="7"/>
      <c r="Q99" s="7"/>
      <c r="R99" s="7"/>
      <c r="S99" s="7"/>
      <c r="T99" s="7"/>
      <c r="U99" s="7"/>
      <c r="V99" s="7"/>
      <c r="W99" s="7"/>
    </row>
    <row r="100" spans="1:23" x14ac:dyDescent="0.25">
      <c r="A100" s="7"/>
      <c r="B100" s="7"/>
      <c r="C100" s="7"/>
      <c r="D100" s="7"/>
      <c r="E100" s="7"/>
      <c r="F100" s="7"/>
      <c r="G100" s="7"/>
      <c r="H100" s="7"/>
      <c r="I100" s="7"/>
      <c r="J100" s="7"/>
      <c r="K100" s="7"/>
      <c r="L100" s="7"/>
      <c r="M100" s="7"/>
      <c r="N100" s="7"/>
      <c r="O100" s="7"/>
      <c r="P100" s="7"/>
      <c r="Q100" s="7"/>
      <c r="R100" s="7"/>
      <c r="S100" s="7"/>
      <c r="T100" s="7"/>
      <c r="U100" s="7"/>
      <c r="V100" s="7"/>
      <c r="W100" s="7"/>
    </row>
    <row r="101" spans="1:23" x14ac:dyDescent="0.25">
      <c r="A101" s="7"/>
      <c r="B101" s="7"/>
      <c r="C101" s="7"/>
      <c r="D101" s="7"/>
      <c r="E101" s="7"/>
      <c r="F101" s="7"/>
      <c r="G101" s="7"/>
      <c r="H101" s="7"/>
      <c r="I101" s="7"/>
      <c r="J101" s="7"/>
      <c r="K101" s="7"/>
      <c r="L101" s="7"/>
      <c r="M101" s="7"/>
      <c r="N101" s="7"/>
      <c r="O101" s="7"/>
      <c r="P101" s="7"/>
      <c r="Q101" s="7"/>
      <c r="R101" s="7"/>
      <c r="S101" s="7"/>
      <c r="T101" s="7"/>
      <c r="U101" s="7"/>
      <c r="V101" s="7"/>
      <c r="W101" s="7"/>
    </row>
    <row r="102" spans="1:23" x14ac:dyDescent="0.25">
      <c r="A102" s="7"/>
      <c r="B102" s="7"/>
      <c r="C102" s="7"/>
      <c r="D102" s="7"/>
      <c r="E102" s="7"/>
      <c r="F102" s="7"/>
      <c r="G102" s="7"/>
      <c r="H102" s="7"/>
      <c r="I102" s="7"/>
      <c r="J102" s="7"/>
      <c r="K102" s="7"/>
      <c r="L102" s="7"/>
      <c r="M102" s="7"/>
      <c r="N102" s="7"/>
      <c r="O102" s="7"/>
      <c r="P102" s="7"/>
      <c r="Q102" s="7"/>
      <c r="R102" s="7"/>
      <c r="S102" s="7"/>
      <c r="T102" s="7"/>
      <c r="U102" s="7"/>
      <c r="V102" s="7"/>
      <c r="W102" s="7"/>
    </row>
    <row r="103" spans="1:23" x14ac:dyDescent="0.25">
      <c r="A103" s="7"/>
      <c r="B103" s="7"/>
      <c r="C103" s="7"/>
      <c r="D103" s="7"/>
      <c r="E103" s="7"/>
      <c r="F103" s="7"/>
      <c r="G103" s="7"/>
      <c r="H103" s="7"/>
      <c r="I103" s="7"/>
      <c r="J103" s="7"/>
      <c r="K103" s="7"/>
      <c r="L103" s="7"/>
      <c r="M103" s="7"/>
      <c r="N103" s="7"/>
      <c r="O103" s="7"/>
      <c r="P103" s="7"/>
      <c r="Q103" s="7"/>
      <c r="R103" s="7"/>
      <c r="S103" s="7"/>
      <c r="T103" s="7"/>
      <c r="U103" s="7"/>
      <c r="V103" s="7"/>
      <c r="W103" s="7"/>
    </row>
    <row r="104" spans="1:23" x14ac:dyDescent="0.25">
      <c r="A104" s="7"/>
      <c r="B104" s="7"/>
      <c r="C104" s="7"/>
      <c r="D104" s="7"/>
      <c r="E104" s="7"/>
      <c r="F104" s="7"/>
      <c r="G104" s="7"/>
      <c r="H104" s="7"/>
      <c r="I104" s="7"/>
      <c r="J104" s="7"/>
      <c r="K104" s="7"/>
      <c r="L104" s="7"/>
      <c r="M104" s="7"/>
      <c r="N104" s="7"/>
      <c r="O104" s="7"/>
      <c r="P104" s="7"/>
      <c r="Q104" s="7"/>
      <c r="R104" s="7"/>
      <c r="S104" s="7"/>
      <c r="T104" s="7"/>
      <c r="U104" s="7"/>
      <c r="V104" s="7"/>
      <c r="W104" s="7"/>
    </row>
    <row r="105" spans="1:23" x14ac:dyDescent="0.25">
      <c r="A105" s="7"/>
      <c r="B105" s="7"/>
      <c r="C105" s="7"/>
      <c r="D105" s="7"/>
      <c r="E105" s="7"/>
      <c r="F105" s="7"/>
      <c r="G105" s="7"/>
      <c r="H105" s="7"/>
      <c r="I105" s="7"/>
      <c r="J105" s="7"/>
      <c r="K105" s="7"/>
      <c r="L105" s="7"/>
      <c r="M105" s="7"/>
      <c r="N105" s="7"/>
      <c r="O105" s="7"/>
      <c r="P105" s="7"/>
      <c r="Q105" s="7"/>
      <c r="R105" s="7"/>
      <c r="S105" s="7"/>
      <c r="T105" s="7"/>
      <c r="U105" s="7"/>
      <c r="V105" s="7"/>
      <c r="W105" s="7"/>
    </row>
    <row r="106" spans="1:23" x14ac:dyDescent="0.25">
      <c r="A106" s="7"/>
      <c r="B106" s="7"/>
      <c r="C106" s="7"/>
      <c r="D106" s="7"/>
      <c r="E106" s="7"/>
      <c r="F106" s="7"/>
      <c r="G106" s="7"/>
      <c r="H106" s="7"/>
      <c r="I106" s="7"/>
      <c r="J106" s="7"/>
      <c r="K106" s="7"/>
      <c r="L106" s="7"/>
      <c r="M106" s="7"/>
      <c r="N106" s="7"/>
      <c r="O106" s="7"/>
      <c r="P106" s="7"/>
      <c r="Q106" s="7"/>
      <c r="R106" s="7"/>
      <c r="S106" s="7"/>
      <c r="T106" s="7"/>
      <c r="U106" s="7"/>
      <c r="V106" s="7"/>
      <c r="W106" s="7"/>
    </row>
    <row r="107" spans="1:23" x14ac:dyDescent="0.25">
      <c r="A107" s="7"/>
      <c r="B107" s="7"/>
      <c r="C107" s="7"/>
      <c r="D107" s="7"/>
      <c r="E107" s="7"/>
      <c r="F107" s="7"/>
      <c r="G107" s="7"/>
      <c r="H107" s="7"/>
      <c r="I107" s="7"/>
      <c r="J107" s="7"/>
      <c r="K107" s="7"/>
      <c r="L107" s="7"/>
      <c r="M107" s="7"/>
      <c r="N107" s="7"/>
      <c r="O107" s="7"/>
      <c r="P107" s="7"/>
      <c r="Q107" s="7"/>
      <c r="R107" s="7"/>
      <c r="S107" s="7"/>
      <c r="T107" s="7"/>
      <c r="U107" s="7"/>
      <c r="V107" s="7"/>
      <c r="W107" s="7"/>
    </row>
    <row r="108" spans="1:23" x14ac:dyDescent="0.25">
      <c r="A108" s="7"/>
      <c r="B108" s="7"/>
      <c r="C108" s="7"/>
      <c r="D108" s="7"/>
      <c r="E108" s="7"/>
      <c r="F108" s="7"/>
      <c r="G108" s="7"/>
      <c r="H108" s="7"/>
      <c r="I108" s="7"/>
      <c r="J108" s="7"/>
      <c r="K108" s="7"/>
      <c r="L108" s="7"/>
      <c r="M108" s="7"/>
      <c r="N108" s="7"/>
      <c r="O108" s="7"/>
      <c r="P108" s="7"/>
      <c r="Q108" s="7"/>
      <c r="R108" s="7"/>
      <c r="S108" s="7"/>
      <c r="T108" s="7"/>
      <c r="U108" s="7"/>
      <c r="V108" s="7"/>
      <c r="W108" s="7"/>
    </row>
    <row r="109" spans="1:23" x14ac:dyDescent="0.25">
      <c r="A109" s="7"/>
      <c r="B109" s="7"/>
      <c r="C109" s="7"/>
      <c r="D109" s="7"/>
      <c r="E109" s="7"/>
      <c r="F109" s="7"/>
      <c r="G109" s="7"/>
      <c r="H109" s="7"/>
      <c r="I109" s="7"/>
      <c r="J109" s="7"/>
      <c r="K109" s="7"/>
      <c r="L109" s="7"/>
      <c r="M109" s="7"/>
      <c r="N109" s="7"/>
      <c r="O109" s="7"/>
      <c r="P109" s="7"/>
      <c r="Q109" s="7"/>
      <c r="R109" s="7"/>
      <c r="S109" s="7"/>
      <c r="T109" s="7"/>
      <c r="U109" s="7"/>
      <c r="V109" s="7"/>
      <c r="W109" s="7"/>
    </row>
    <row r="110" spans="1:23" x14ac:dyDescent="0.25">
      <c r="A110" s="7"/>
      <c r="B110" s="7"/>
      <c r="C110" s="7"/>
      <c r="D110" s="7"/>
      <c r="E110" s="7"/>
      <c r="F110" s="7"/>
      <c r="G110" s="7"/>
      <c r="H110" s="7"/>
      <c r="I110" s="7"/>
      <c r="J110" s="7"/>
      <c r="K110" s="7"/>
      <c r="L110" s="7"/>
      <c r="M110" s="7"/>
      <c r="N110" s="7"/>
      <c r="O110" s="7"/>
      <c r="P110" s="7"/>
      <c r="Q110" s="7"/>
      <c r="R110" s="7"/>
      <c r="S110" s="7"/>
      <c r="T110" s="7"/>
      <c r="U110" s="7"/>
      <c r="V110" s="7"/>
      <c r="W110" s="7"/>
    </row>
    <row r="111" spans="1:23" x14ac:dyDescent="0.25">
      <c r="A111" s="7"/>
      <c r="B111" s="7"/>
      <c r="C111" s="7"/>
      <c r="D111" s="7"/>
      <c r="E111" s="7"/>
      <c r="F111" s="7"/>
      <c r="G111" s="7"/>
      <c r="H111" s="7"/>
      <c r="I111" s="7"/>
      <c r="J111" s="7"/>
      <c r="K111" s="7"/>
      <c r="L111" s="7"/>
      <c r="M111" s="7"/>
      <c r="N111" s="7"/>
      <c r="O111" s="7"/>
      <c r="P111" s="7"/>
      <c r="Q111" s="7"/>
      <c r="R111" s="7"/>
      <c r="S111" s="7"/>
      <c r="T111" s="7"/>
      <c r="U111" s="7"/>
      <c r="V111" s="7"/>
      <c r="W111" s="7"/>
    </row>
    <row r="112" spans="1:23" x14ac:dyDescent="0.25">
      <c r="A112" s="7"/>
      <c r="B112" s="7"/>
      <c r="C112" s="7"/>
      <c r="D112" s="7"/>
      <c r="E112" s="7"/>
      <c r="F112" s="7"/>
      <c r="G112" s="7"/>
      <c r="H112" s="7"/>
      <c r="I112" s="7"/>
      <c r="J112" s="7"/>
      <c r="K112" s="7"/>
      <c r="L112" s="7"/>
      <c r="M112" s="7"/>
      <c r="N112" s="7"/>
      <c r="O112" s="7"/>
      <c r="P112" s="7"/>
      <c r="Q112" s="7"/>
      <c r="R112" s="7"/>
      <c r="S112" s="7"/>
      <c r="T112" s="7"/>
      <c r="U112" s="7"/>
      <c r="V112" s="7"/>
      <c r="W112" s="7"/>
    </row>
    <row r="113" spans="1:23" x14ac:dyDescent="0.25">
      <c r="A113" s="7"/>
      <c r="B113" s="7"/>
      <c r="C113" s="7"/>
      <c r="D113" s="7"/>
      <c r="E113" s="7"/>
      <c r="F113" s="7"/>
      <c r="G113" s="7"/>
      <c r="H113" s="7"/>
      <c r="I113" s="7"/>
      <c r="J113" s="7"/>
      <c r="K113" s="7"/>
      <c r="L113" s="7"/>
      <c r="M113" s="7"/>
      <c r="N113" s="7"/>
      <c r="O113" s="7"/>
      <c r="P113" s="7"/>
      <c r="Q113" s="7"/>
      <c r="R113" s="7"/>
      <c r="S113" s="7"/>
      <c r="T113" s="7"/>
      <c r="U113" s="7"/>
      <c r="V113" s="7"/>
      <c r="W113" s="7"/>
    </row>
    <row r="114" spans="1:23" x14ac:dyDescent="0.25">
      <c r="A114" s="7"/>
      <c r="B114" s="7"/>
      <c r="C114" s="7"/>
      <c r="D114" s="7"/>
      <c r="E114" s="7"/>
      <c r="F114" s="7"/>
      <c r="G114" s="7"/>
      <c r="H114" s="7"/>
      <c r="I114" s="7"/>
      <c r="J114" s="7"/>
      <c r="K114" s="7"/>
      <c r="L114" s="7"/>
      <c r="M114" s="7"/>
      <c r="N114" s="7"/>
      <c r="O114" s="7"/>
      <c r="P114" s="7"/>
      <c r="Q114" s="7"/>
      <c r="R114" s="7"/>
      <c r="S114" s="7"/>
      <c r="T114" s="7"/>
      <c r="U114" s="7"/>
      <c r="V114" s="7"/>
      <c r="W114" s="7"/>
    </row>
    <row r="115" spans="1:23" x14ac:dyDescent="0.25">
      <c r="A115" s="7"/>
      <c r="B115" s="7"/>
      <c r="C115" s="7"/>
      <c r="D115" s="7"/>
      <c r="E115" s="7"/>
      <c r="F115" s="7"/>
      <c r="G115" s="7"/>
      <c r="H115" s="7"/>
      <c r="I115" s="7"/>
      <c r="J115" s="7"/>
      <c r="K115" s="7"/>
      <c r="L115" s="7"/>
      <c r="M115" s="7"/>
      <c r="N115" s="7"/>
      <c r="O115" s="7"/>
      <c r="P115" s="7"/>
      <c r="Q115" s="7"/>
      <c r="R115" s="7"/>
      <c r="S115" s="7"/>
      <c r="T115" s="7"/>
      <c r="U115" s="7"/>
      <c r="V115" s="7"/>
      <c r="W115" s="7"/>
    </row>
    <row r="116" spans="1:23" x14ac:dyDescent="0.25">
      <c r="A116" s="7"/>
      <c r="B116" s="7"/>
      <c r="C116" s="7"/>
      <c r="D116" s="7"/>
      <c r="E116" s="7"/>
      <c r="F116" s="7"/>
      <c r="G116" s="7"/>
      <c r="H116" s="7"/>
      <c r="I116" s="7"/>
      <c r="J116" s="7"/>
      <c r="K116" s="7"/>
      <c r="L116" s="7"/>
      <c r="M116" s="7"/>
      <c r="N116" s="7"/>
      <c r="O116" s="7"/>
      <c r="P116" s="7"/>
      <c r="Q116" s="7"/>
      <c r="R116" s="7"/>
      <c r="S116" s="7"/>
      <c r="T116" s="7"/>
      <c r="U116" s="7"/>
      <c r="V116" s="7"/>
      <c r="W116" s="7"/>
    </row>
    <row r="117" spans="1:23" x14ac:dyDescent="0.25">
      <c r="A117" s="7"/>
      <c r="B117" s="7"/>
      <c r="C117" s="7"/>
      <c r="D117" s="7"/>
      <c r="E117" s="7"/>
      <c r="F117" s="7"/>
      <c r="G117" s="7"/>
      <c r="H117" s="7"/>
      <c r="I117" s="7"/>
      <c r="J117" s="7"/>
      <c r="K117" s="7"/>
      <c r="L117" s="7"/>
      <c r="M117" s="7"/>
      <c r="N117" s="7"/>
      <c r="O117" s="7"/>
      <c r="P117" s="7"/>
      <c r="Q117" s="7"/>
      <c r="R117" s="7"/>
      <c r="S117" s="7"/>
      <c r="T117" s="7"/>
      <c r="U117" s="7"/>
      <c r="V117" s="7"/>
      <c r="W117" s="7"/>
    </row>
    <row r="118" spans="1:23" x14ac:dyDescent="0.25">
      <c r="A118" s="7"/>
      <c r="B118" s="7"/>
      <c r="C118" s="7"/>
      <c r="D118" s="7"/>
      <c r="E118" s="7"/>
      <c r="F118" s="7"/>
      <c r="G118" s="7"/>
      <c r="H118" s="7"/>
      <c r="I118" s="7"/>
      <c r="J118" s="7"/>
      <c r="K118" s="7"/>
      <c r="L118" s="7"/>
      <c r="M118" s="7"/>
      <c r="N118" s="7"/>
      <c r="O118" s="7"/>
      <c r="P118" s="7"/>
      <c r="Q118" s="7"/>
      <c r="R118" s="7"/>
      <c r="S118" s="7"/>
      <c r="T118" s="7"/>
      <c r="U118" s="7"/>
      <c r="V118" s="7"/>
      <c r="W118" s="7"/>
    </row>
    <row r="119" spans="1:23" x14ac:dyDescent="0.25">
      <c r="A119" s="7"/>
      <c r="B119" s="7"/>
      <c r="C119" s="7"/>
      <c r="D119" s="7"/>
      <c r="E119" s="7"/>
      <c r="F119" s="7"/>
      <c r="G119" s="7"/>
      <c r="H119" s="7"/>
      <c r="I119" s="7"/>
      <c r="J119" s="7"/>
      <c r="K119" s="7"/>
      <c r="L119" s="7"/>
      <c r="M119" s="7"/>
      <c r="N119" s="7"/>
      <c r="O119" s="7"/>
      <c r="P119" s="7"/>
      <c r="Q119" s="7"/>
      <c r="R119" s="7"/>
      <c r="S119" s="7"/>
      <c r="T119" s="7"/>
      <c r="U119" s="7"/>
      <c r="V119" s="7"/>
      <c r="W119" s="7"/>
    </row>
    <row r="120" spans="1:23" x14ac:dyDescent="0.25">
      <c r="A120" s="7"/>
      <c r="B120" s="7"/>
      <c r="C120" s="7"/>
      <c r="D120" s="7"/>
      <c r="E120" s="7"/>
      <c r="F120" s="7"/>
      <c r="G120" s="7"/>
      <c r="H120" s="7"/>
      <c r="I120" s="7"/>
      <c r="J120" s="7"/>
      <c r="K120" s="7"/>
      <c r="L120" s="7"/>
      <c r="M120" s="7"/>
      <c r="N120" s="7"/>
      <c r="O120" s="7"/>
      <c r="P120" s="7"/>
      <c r="Q120" s="7"/>
      <c r="R120" s="7"/>
      <c r="S120" s="7"/>
      <c r="T120" s="7"/>
      <c r="U120" s="7"/>
      <c r="V120" s="7"/>
      <c r="W120" s="7"/>
    </row>
    <row r="121" spans="1:23" x14ac:dyDescent="0.25">
      <c r="A121" s="7"/>
      <c r="B121" s="7"/>
      <c r="C121" s="7"/>
      <c r="D121" s="7"/>
      <c r="E121" s="7"/>
      <c r="F121" s="7"/>
      <c r="G121" s="7"/>
      <c r="H121" s="7"/>
      <c r="I121" s="7"/>
      <c r="J121" s="7"/>
      <c r="K121" s="7"/>
      <c r="L121" s="7"/>
      <c r="M121" s="7"/>
      <c r="N121" s="7"/>
      <c r="O121" s="7"/>
      <c r="P121" s="7"/>
      <c r="Q121" s="7"/>
      <c r="R121" s="7"/>
      <c r="S121" s="7"/>
      <c r="T121" s="7"/>
      <c r="U121" s="7"/>
      <c r="V121" s="7"/>
      <c r="W121" s="7"/>
    </row>
    <row r="122" spans="1:23" x14ac:dyDescent="0.25">
      <c r="A122" s="7"/>
      <c r="B122" s="7"/>
      <c r="C122" s="7"/>
      <c r="D122" s="7"/>
      <c r="E122" s="7"/>
      <c r="F122" s="7"/>
      <c r="G122" s="7"/>
      <c r="H122" s="7"/>
      <c r="I122" s="7"/>
      <c r="J122" s="7"/>
      <c r="K122" s="7"/>
      <c r="L122" s="7"/>
      <c r="M122" s="7"/>
      <c r="N122" s="7"/>
      <c r="O122" s="7"/>
      <c r="P122" s="7"/>
      <c r="Q122" s="7"/>
      <c r="R122" s="7"/>
      <c r="S122" s="7"/>
      <c r="T122" s="7"/>
      <c r="U122" s="7"/>
      <c r="V122" s="7"/>
      <c r="W122" s="7"/>
    </row>
    <row r="123" spans="1:23" x14ac:dyDescent="0.25">
      <c r="A123" s="7"/>
      <c r="B123" s="7"/>
      <c r="C123" s="7"/>
      <c r="D123" s="7"/>
      <c r="E123" s="7"/>
      <c r="F123" s="7"/>
      <c r="G123" s="7"/>
      <c r="H123" s="7"/>
      <c r="I123" s="7"/>
      <c r="J123" s="7"/>
      <c r="K123" s="7"/>
      <c r="L123" s="7"/>
      <c r="M123" s="7"/>
      <c r="N123" s="7"/>
      <c r="O123" s="7"/>
      <c r="P123" s="7"/>
      <c r="Q123" s="7"/>
      <c r="R123" s="7"/>
      <c r="S123" s="7"/>
      <c r="T123" s="7"/>
      <c r="U123" s="7"/>
      <c r="V123" s="7"/>
      <c r="W123" s="7"/>
    </row>
    <row r="124" spans="1:23" x14ac:dyDescent="0.25">
      <c r="A124" s="7"/>
      <c r="B124" s="7"/>
      <c r="C124" s="7"/>
      <c r="D124" s="7"/>
      <c r="E124" s="7"/>
      <c r="F124" s="7"/>
      <c r="G124" s="7"/>
      <c r="H124" s="7"/>
      <c r="I124" s="7"/>
      <c r="J124" s="7"/>
      <c r="K124" s="7"/>
      <c r="L124" s="7"/>
      <c r="M124" s="7"/>
      <c r="N124" s="7"/>
      <c r="O124" s="7"/>
      <c r="P124" s="7"/>
      <c r="Q124" s="7"/>
      <c r="R124" s="7"/>
      <c r="S124" s="7"/>
      <c r="T124" s="7"/>
      <c r="U124" s="7"/>
      <c r="V124" s="7"/>
      <c r="W124" s="7"/>
    </row>
    <row r="125" spans="1:23" x14ac:dyDescent="0.25">
      <c r="A125" s="7"/>
      <c r="B125" s="7"/>
      <c r="C125" s="7"/>
      <c r="D125" s="7"/>
      <c r="E125" s="7"/>
      <c r="F125" s="7"/>
      <c r="G125" s="7"/>
      <c r="H125" s="7"/>
      <c r="I125" s="7"/>
      <c r="J125" s="7"/>
      <c r="K125" s="7"/>
      <c r="L125" s="7"/>
      <c r="M125" s="7"/>
      <c r="N125" s="7"/>
      <c r="O125" s="7"/>
      <c r="P125" s="7"/>
      <c r="Q125" s="7"/>
      <c r="R125" s="7"/>
      <c r="S125" s="7"/>
      <c r="T125" s="7"/>
      <c r="U125" s="7"/>
      <c r="V125" s="7"/>
      <c r="W125" s="7"/>
    </row>
    <row r="126" spans="1:23" x14ac:dyDescent="0.25">
      <c r="A126" s="7"/>
      <c r="B126" s="7"/>
      <c r="C126" s="7"/>
      <c r="D126" s="7"/>
      <c r="E126" s="7"/>
      <c r="F126" s="7"/>
      <c r="G126" s="7"/>
      <c r="H126" s="7"/>
      <c r="I126" s="7"/>
      <c r="J126" s="7"/>
      <c r="K126" s="7"/>
      <c r="L126" s="7"/>
      <c r="M126" s="7"/>
      <c r="N126" s="7"/>
      <c r="O126" s="7"/>
      <c r="P126" s="7"/>
      <c r="Q126" s="7"/>
      <c r="R126" s="7"/>
      <c r="S126" s="7"/>
      <c r="T126" s="7"/>
      <c r="U126" s="7"/>
      <c r="V126" s="7"/>
      <c r="W126" s="7"/>
    </row>
    <row r="127" spans="1:23" x14ac:dyDescent="0.25">
      <c r="A127" s="7"/>
      <c r="B127" s="7"/>
      <c r="C127" s="7"/>
      <c r="D127" s="7"/>
      <c r="E127" s="7"/>
      <c r="F127" s="7"/>
      <c r="G127" s="7"/>
      <c r="H127" s="7"/>
      <c r="I127" s="7"/>
      <c r="J127" s="7"/>
      <c r="K127" s="7"/>
      <c r="L127" s="7"/>
      <c r="M127" s="7"/>
      <c r="N127" s="7"/>
      <c r="O127" s="7"/>
      <c r="P127" s="7"/>
      <c r="Q127" s="7"/>
      <c r="R127" s="7"/>
      <c r="S127" s="7"/>
      <c r="T127" s="7"/>
      <c r="U127" s="7"/>
      <c r="V127" s="7"/>
      <c r="W127" s="7"/>
    </row>
    <row r="128" spans="1:23" x14ac:dyDescent="0.25">
      <c r="A128" s="7"/>
      <c r="B128" s="7"/>
      <c r="C128" s="7"/>
      <c r="D128" s="7"/>
      <c r="E128" s="7"/>
      <c r="F128" s="7"/>
      <c r="G128" s="7"/>
      <c r="H128" s="7"/>
      <c r="I128" s="7"/>
      <c r="J128" s="7"/>
      <c r="K128" s="7"/>
      <c r="L128" s="7"/>
      <c r="M128" s="7"/>
      <c r="N128" s="7"/>
      <c r="O128" s="7"/>
      <c r="P128" s="7"/>
      <c r="Q128" s="7"/>
      <c r="R128" s="7"/>
      <c r="S128" s="7"/>
      <c r="T128" s="7"/>
      <c r="U128" s="7"/>
      <c r="V128" s="7"/>
      <c r="W128" s="7"/>
    </row>
    <row r="129" spans="1:23" x14ac:dyDescent="0.25">
      <c r="A129" s="7"/>
      <c r="B129" s="7"/>
      <c r="C129" s="7"/>
      <c r="D129" s="7"/>
      <c r="E129" s="7"/>
      <c r="F129" s="7"/>
      <c r="G129" s="7"/>
      <c r="H129" s="7"/>
      <c r="I129" s="7"/>
      <c r="J129" s="7"/>
      <c r="K129" s="7"/>
      <c r="L129" s="7"/>
      <c r="M129" s="7"/>
      <c r="N129" s="7"/>
      <c r="O129" s="7"/>
      <c r="P129" s="7"/>
      <c r="Q129" s="7"/>
      <c r="R129" s="7"/>
      <c r="S129" s="7"/>
      <c r="T129" s="7"/>
      <c r="U129" s="7"/>
      <c r="V129" s="7"/>
      <c r="W129" s="7"/>
    </row>
    <row r="130" spans="1:23" x14ac:dyDescent="0.25">
      <c r="A130" s="7"/>
      <c r="B130" s="7"/>
      <c r="C130" s="7"/>
      <c r="D130" s="7"/>
      <c r="E130" s="7"/>
      <c r="F130" s="7"/>
      <c r="G130" s="7"/>
      <c r="H130" s="7"/>
      <c r="I130" s="7"/>
      <c r="J130" s="7"/>
      <c r="K130" s="7"/>
      <c r="L130" s="7"/>
      <c r="M130" s="7"/>
      <c r="N130" s="7"/>
      <c r="O130" s="7"/>
      <c r="P130" s="7"/>
      <c r="Q130" s="7"/>
      <c r="R130" s="7"/>
      <c r="S130" s="7"/>
      <c r="T130" s="7"/>
      <c r="U130" s="7"/>
      <c r="V130" s="7"/>
      <c r="W130" s="7"/>
    </row>
    <row r="131" spans="1:23" x14ac:dyDescent="0.25">
      <c r="A131" s="7"/>
      <c r="B131" s="7"/>
      <c r="C131" s="7"/>
      <c r="D131" s="7"/>
      <c r="E131" s="7"/>
      <c r="F131" s="7"/>
      <c r="G131" s="7"/>
      <c r="H131" s="7"/>
      <c r="I131" s="7"/>
      <c r="J131" s="7"/>
      <c r="K131" s="7"/>
      <c r="L131" s="7"/>
      <c r="M131" s="7"/>
      <c r="N131" s="7"/>
      <c r="O131" s="7"/>
      <c r="P131" s="7"/>
      <c r="Q131" s="7"/>
      <c r="R131" s="7"/>
      <c r="S131" s="7"/>
      <c r="T131" s="7"/>
      <c r="U131" s="7"/>
      <c r="V131" s="7"/>
      <c r="W131" s="7"/>
    </row>
    <row r="132" spans="1:23" x14ac:dyDescent="0.25">
      <c r="A132" s="7"/>
      <c r="B132" s="7"/>
      <c r="C132" s="7"/>
      <c r="D132" s="7"/>
      <c r="E132" s="7"/>
      <c r="F132" s="7"/>
      <c r="G132" s="7"/>
      <c r="H132" s="7"/>
      <c r="I132" s="7"/>
      <c r="J132" s="7"/>
      <c r="K132" s="7"/>
      <c r="L132" s="7"/>
      <c r="M132" s="7"/>
      <c r="N132" s="7"/>
      <c r="O132" s="7"/>
      <c r="P132" s="7"/>
      <c r="Q132" s="7"/>
      <c r="R132" s="7"/>
      <c r="S132" s="7"/>
      <c r="T132" s="7"/>
      <c r="U132" s="7"/>
      <c r="V132" s="7"/>
      <c r="W132" s="7"/>
    </row>
    <row r="133" spans="1:23" x14ac:dyDescent="0.25">
      <c r="A133" s="7"/>
      <c r="B133" s="7"/>
      <c r="C133" s="7"/>
      <c r="D133" s="7"/>
      <c r="E133" s="7"/>
      <c r="F133" s="7"/>
      <c r="G133" s="7"/>
      <c r="H133" s="7"/>
      <c r="I133" s="7"/>
      <c r="J133" s="7"/>
      <c r="K133" s="7"/>
      <c r="L133" s="7"/>
      <c r="M133" s="7"/>
      <c r="N133" s="7"/>
      <c r="O133" s="7"/>
      <c r="P133" s="7"/>
      <c r="Q133" s="7"/>
      <c r="R133" s="7"/>
      <c r="S133" s="7"/>
      <c r="T133" s="7"/>
      <c r="U133" s="7"/>
      <c r="V133" s="7"/>
      <c r="W133" s="7"/>
    </row>
    <row r="134" spans="1:23" x14ac:dyDescent="0.25">
      <c r="A134" s="7"/>
      <c r="B134" s="7"/>
      <c r="C134" s="7"/>
      <c r="D134" s="7"/>
      <c r="E134" s="7"/>
      <c r="F134" s="7"/>
      <c r="G134" s="7"/>
      <c r="H134" s="7"/>
      <c r="I134" s="7"/>
      <c r="J134" s="7"/>
      <c r="K134" s="7"/>
      <c r="L134" s="7"/>
      <c r="M134" s="7"/>
      <c r="N134" s="7"/>
      <c r="O134" s="7"/>
      <c r="P134" s="7"/>
      <c r="Q134" s="7"/>
      <c r="R134" s="7"/>
      <c r="S134" s="7"/>
      <c r="T134" s="7"/>
      <c r="U134" s="7"/>
      <c r="V134" s="7"/>
      <c r="W134" s="7"/>
    </row>
    <row r="135" spans="1:23" x14ac:dyDescent="0.25">
      <c r="A135" s="7"/>
      <c r="B135" s="7"/>
      <c r="C135" s="7"/>
      <c r="D135" s="7"/>
      <c r="E135" s="7"/>
      <c r="F135" s="7"/>
      <c r="G135" s="7"/>
      <c r="H135" s="7"/>
      <c r="I135" s="7"/>
      <c r="J135" s="7"/>
      <c r="K135" s="7"/>
      <c r="L135" s="7"/>
      <c r="M135" s="7"/>
      <c r="N135" s="7"/>
      <c r="O135" s="7"/>
      <c r="P135" s="7"/>
      <c r="Q135" s="7"/>
      <c r="R135" s="7"/>
      <c r="S135" s="7"/>
      <c r="T135" s="7"/>
      <c r="U135" s="7"/>
      <c r="V135" s="7"/>
      <c r="W135" s="7"/>
    </row>
    <row r="136" spans="1:23" x14ac:dyDescent="0.25">
      <c r="A136" s="7"/>
      <c r="B136" s="7"/>
      <c r="C136" s="7"/>
      <c r="D136" s="7"/>
      <c r="E136" s="7"/>
      <c r="F136" s="7"/>
      <c r="G136" s="7"/>
      <c r="H136" s="7"/>
      <c r="I136" s="7"/>
      <c r="J136" s="7"/>
      <c r="K136" s="7"/>
      <c r="L136" s="7"/>
      <c r="M136" s="7"/>
      <c r="N136" s="7"/>
      <c r="O136" s="7"/>
      <c r="P136" s="7"/>
      <c r="Q136" s="7"/>
      <c r="R136" s="7"/>
      <c r="S136" s="7"/>
      <c r="T136" s="7"/>
      <c r="U136" s="7"/>
      <c r="V136" s="7"/>
      <c r="W136" s="7"/>
    </row>
    <row r="137" spans="1:23" x14ac:dyDescent="0.25">
      <c r="A137" s="7"/>
      <c r="B137" s="7"/>
      <c r="C137" s="7"/>
      <c r="D137" s="7"/>
      <c r="E137" s="7"/>
      <c r="F137" s="7"/>
      <c r="G137" s="7"/>
      <c r="H137" s="7"/>
      <c r="I137" s="7"/>
      <c r="J137" s="7"/>
      <c r="K137" s="7"/>
      <c r="L137" s="7"/>
      <c r="M137" s="7"/>
      <c r="N137" s="7"/>
      <c r="O137" s="7"/>
      <c r="P137" s="7"/>
      <c r="Q137" s="7"/>
      <c r="R137" s="7"/>
      <c r="S137" s="7"/>
      <c r="T137" s="7"/>
      <c r="U137" s="7"/>
      <c r="V137" s="7"/>
      <c r="W137" s="7"/>
    </row>
    <row r="138" spans="1:23" x14ac:dyDescent="0.25">
      <c r="A138" s="7"/>
      <c r="B138" s="7"/>
      <c r="C138" s="7"/>
      <c r="D138" s="7"/>
      <c r="E138" s="7"/>
      <c r="F138" s="7"/>
      <c r="G138" s="7"/>
      <c r="H138" s="7"/>
      <c r="I138" s="7"/>
      <c r="J138" s="7"/>
      <c r="K138" s="7"/>
      <c r="L138" s="7"/>
      <c r="M138" s="7"/>
      <c r="N138" s="7"/>
      <c r="O138" s="7"/>
      <c r="P138" s="7"/>
      <c r="Q138" s="7"/>
      <c r="R138" s="7"/>
      <c r="S138" s="7"/>
      <c r="T138" s="7"/>
      <c r="U138" s="7"/>
      <c r="V138" s="7"/>
      <c r="W138" s="7"/>
    </row>
    <row r="139" spans="1:23" x14ac:dyDescent="0.25">
      <c r="A139" s="7"/>
      <c r="B139" s="7"/>
      <c r="C139" s="7"/>
      <c r="D139" s="7"/>
      <c r="E139" s="7"/>
      <c r="F139" s="7"/>
      <c r="G139" s="7"/>
      <c r="H139" s="7"/>
      <c r="I139" s="7"/>
      <c r="J139" s="7"/>
      <c r="K139" s="7"/>
      <c r="L139" s="7"/>
      <c r="M139" s="7"/>
      <c r="N139" s="7"/>
      <c r="O139" s="7"/>
      <c r="P139" s="7"/>
      <c r="Q139" s="7"/>
      <c r="R139" s="7"/>
      <c r="S139" s="7"/>
      <c r="T139" s="7"/>
      <c r="U139" s="7"/>
      <c r="V139" s="7"/>
      <c r="W139" s="7"/>
    </row>
    <row r="140" spans="1:23" x14ac:dyDescent="0.25">
      <c r="A140" s="7"/>
      <c r="B140" s="7"/>
      <c r="C140" s="7"/>
      <c r="D140" s="7"/>
      <c r="E140" s="7"/>
      <c r="F140" s="7"/>
      <c r="G140" s="7"/>
      <c r="H140" s="7"/>
      <c r="I140" s="7"/>
      <c r="J140" s="7"/>
      <c r="K140" s="7"/>
      <c r="L140" s="7"/>
      <c r="M140" s="7"/>
      <c r="N140" s="7"/>
      <c r="O140" s="7"/>
      <c r="P140" s="7"/>
      <c r="Q140" s="7"/>
      <c r="R140" s="7"/>
      <c r="S140" s="7"/>
      <c r="T140" s="7"/>
      <c r="U140" s="7"/>
      <c r="V140" s="7"/>
      <c r="W140" s="7"/>
    </row>
    <row r="141" spans="1:23" x14ac:dyDescent="0.25">
      <c r="A141" s="7"/>
      <c r="B141" s="7"/>
      <c r="C141" s="7"/>
      <c r="D141" s="7"/>
      <c r="E141" s="7"/>
      <c r="F141" s="7"/>
      <c r="G141" s="7"/>
      <c r="H141" s="7"/>
      <c r="I141" s="7"/>
      <c r="J141" s="7"/>
      <c r="K141" s="7"/>
      <c r="L141" s="7"/>
      <c r="M141" s="7"/>
      <c r="N141" s="7"/>
      <c r="O141" s="7"/>
      <c r="P141" s="7"/>
      <c r="Q141" s="7"/>
      <c r="R141" s="7"/>
      <c r="S141" s="7"/>
      <c r="T141" s="7"/>
      <c r="U141" s="7"/>
      <c r="V141" s="7"/>
      <c r="W141" s="7"/>
    </row>
    <row r="142" spans="1:23" x14ac:dyDescent="0.25">
      <c r="A142" s="7"/>
      <c r="B142" s="7"/>
      <c r="C142" s="7"/>
      <c r="D142" s="7"/>
      <c r="E142" s="7"/>
      <c r="F142" s="7"/>
      <c r="G142" s="7"/>
      <c r="H142" s="7"/>
      <c r="I142" s="7"/>
      <c r="J142" s="7"/>
      <c r="K142" s="7"/>
      <c r="L142" s="7"/>
      <c r="M142" s="7"/>
      <c r="N142" s="7"/>
      <c r="O142" s="7"/>
      <c r="P142" s="7"/>
      <c r="Q142" s="7"/>
      <c r="R142" s="7"/>
      <c r="S142" s="7"/>
      <c r="T142" s="7"/>
      <c r="U142" s="7"/>
      <c r="V142" s="7"/>
      <c r="W142" s="7"/>
    </row>
    <row r="143" spans="1:23" x14ac:dyDescent="0.25">
      <c r="A143" s="7"/>
      <c r="B143" s="7"/>
      <c r="C143" s="7"/>
      <c r="D143" s="7"/>
      <c r="E143" s="7"/>
      <c r="F143" s="7"/>
      <c r="G143" s="7"/>
      <c r="H143" s="7"/>
      <c r="I143" s="7"/>
      <c r="J143" s="7"/>
      <c r="K143" s="7"/>
      <c r="L143" s="7"/>
      <c r="M143" s="7"/>
      <c r="N143" s="7"/>
      <c r="O143" s="7"/>
      <c r="P143" s="7"/>
      <c r="Q143" s="7"/>
      <c r="R143" s="7"/>
      <c r="S143" s="7"/>
      <c r="T143" s="7"/>
      <c r="U143" s="7"/>
      <c r="V143" s="7"/>
      <c r="W143" s="7"/>
    </row>
    <row r="144" spans="1:23" x14ac:dyDescent="0.25">
      <c r="A144" s="7"/>
      <c r="B144" s="7"/>
      <c r="C144" s="7"/>
      <c r="D144" s="7"/>
      <c r="E144" s="7"/>
      <c r="F144" s="7"/>
      <c r="G144" s="7"/>
      <c r="H144" s="7"/>
      <c r="I144" s="7"/>
      <c r="J144" s="7"/>
      <c r="K144" s="7"/>
      <c r="L144" s="7"/>
      <c r="M144" s="7"/>
      <c r="N144" s="7"/>
      <c r="O144" s="7"/>
      <c r="P144" s="7"/>
      <c r="Q144" s="7"/>
      <c r="R144" s="7"/>
      <c r="S144" s="7"/>
      <c r="T144" s="7"/>
      <c r="U144" s="7"/>
      <c r="V144" s="7"/>
      <c r="W144" s="7"/>
    </row>
    <row r="145" spans="1:23" x14ac:dyDescent="0.25">
      <c r="A145" s="7"/>
      <c r="B145" s="7"/>
      <c r="C145" s="7"/>
      <c r="D145" s="7"/>
      <c r="E145" s="7"/>
      <c r="F145" s="7"/>
      <c r="G145" s="7"/>
      <c r="H145" s="7"/>
      <c r="I145" s="7"/>
      <c r="J145" s="7"/>
      <c r="K145" s="7"/>
      <c r="L145" s="7"/>
      <c r="M145" s="7"/>
      <c r="N145" s="7"/>
      <c r="O145" s="7"/>
      <c r="P145" s="7"/>
      <c r="Q145" s="7"/>
      <c r="R145" s="7"/>
      <c r="S145" s="7"/>
      <c r="T145" s="7"/>
      <c r="U145" s="7"/>
      <c r="V145" s="7"/>
      <c r="W145" s="7"/>
    </row>
    <row r="146" spans="1:23" x14ac:dyDescent="0.25">
      <c r="A146" s="7"/>
      <c r="B146" s="7"/>
      <c r="C146" s="7"/>
      <c r="D146" s="7"/>
      <c r="E146" s="7"/>
      <c r="F146" s="7"/>
      <c r="G146" s="7"/>
      <c r="H146" s="7"/>
      <c r="I146" s="7"/>
      <c r="J146" s="7"/>
      <c r="K146" s="7"/>
      <c r="L146" s="7"/>
      <c r="M146" s="7"/>
      <c r="N146" s="7"/>
      <c r="O146" s="7"/>
      <c r="P146" s="7"/>
      <c r="Q146" s="7"/>
      <c r="R146" s="7"/>
      <c r="S146" s="7"/>
      <c r="T146" s="7"/>
      <c r="U146" s="7"/>
      <c r="V146" s="7"/>
      <c r="W146" s="7"/>
    </row>
    <row r="147" spans="1:23" x14ac:dyDescent="0.25">
      <c r="A147" s="7"/>
      <c r="B147" s="7"/>
      <c r="C147" s="7"/>
      <c r="D147" s="7"/>
      <c r="E147" s="7"/>
      <c r="F147" s="7"/>
      <c r="G147" s="7"/>
      <c r="H147" s="7"/>
      <c r="I147" s="7"/>
      <c r="J147" s="7"/>
      <c r="K147" s="7"/>
      <c r="L147" s="7"/>
      <c r="M147" s="7"/>
      <c r="N147" s="7"/>
      <c r="O147" s="7"/>
      <c r="P147" s="7"/>
      <c r="Q147" s="7"/>
      <c r="R147" s="7"/>
      <c r="S147" s="7"/>
      <c r="T147" s="7"/>
      <c r="U147" s="7"/>
      <c r="V147" s="7"/>
      <c r="W147" s="7"/>
    </row>
    <row r="148" spans="1:23" x14ac:dyDescent="0.25">
      <c r="A148" s="7"/>
      <c r="B148" s="7"/>
      <c r="C148" s="7"/>
      <c r="D148" s="7"/>
      <c r="E148" s="7"/>
      <c r="F148" s="7"/>
      <c r="G148" s="7"/>
      <c r="H148" s="7"/>
      <c r="I148" s="7"/>
      <c r="J148" s="7"/>
      <c r="K148" s="7"/>
      <c r="L148" s="7"/>
      <c r="M148" s="7"/>
      <c r="N148" s="7"/>
      <c r="O148" s="7"/>
      <c r="P148" s="7"/>
      <c r="Q148" s="7"/>
      <c r="R148" s="7"/>
      <c r="S148" s="7"/>
      <c r="T148" s="7"/>
      <c r="U148" s="7"/>
      <c r="V148" s="7"/>
      <c r="W148" s="7"/>
    </row>
    <row r="149" spans="1:23" x14ac:dyDescent="0.25">
      <c r="A149" s="7"/>
      <c r="B149" s="7"/>
      <c r="C149" s="7"/>
      <c r="D149" s="7"/>
      <c r="E149" s="7"/>
      <c r="F149" s="7"/>
      <c r="G149" s="7"/>
      <c r="H149" s="7"/>
      <c r="I149" s="7"/>
      <c r="J149" s="7"/>
      <c r="K149" s="7"/>
      <c r="L149" s="7"/>
      <c r="M149" s="7"/>
      <c r="N149" s="7"/>
      <c r="O149" s="7"/>
      <c r="P149" s="7"/>
      <c r="Q149" s="7"/>
      <c r="R149" s="7"/>
      <c r="S149" s="7"/>
      <c r="T149" s="7"/>
      <c r="U149" s="7"/>
      <c r="V149" s="7"/>
      <c r="W149" s="7"/>
    </row>
    <row r="150" spans="1:23" x14ac:dyDescent="0.25">
      <c r="A150" s="7"/>
      <c r="B150" s="7"/>
      <c r="C150" s="7"/>
      <c r="D150" s="7"/>
      <c r="E150" s="7"/>
      <c r="F150" s="7"/>
      <c r="G150" s="7"/>
      <c r="H150" s="7"/>
      <c r="I150" s="7"/>
      <c r="J150" s="7"/>
      <c r="K150" s="7"/>
      <c r="L150" s="7"/>
      <c r="M150" s="7"/>
      <c r="N150" s="7"/>
      <c r="O150" s="7"/>
      <c r="P150" s="7"/>
      <c r="Q150" s="7"/>
      <c r="R150" s="7"/>
      <c r="S150" s="7"/>
      <c r="T150" s="7"/>
      <c r="U150" s="7"/>
      <c r="V150" s="7"/>
      <c r="W150" s="7"/>
    </row>
    <row r="151" spans="1:23" x14ac:dyDescent="0.25">
      <c r="A151" s="7"/>
      <c r="B151" s="7"/>
      <c r="C151" s="7"/>
      <c r="D151" s="7"/>
      <c r="E151" s="7"/>
      <c r="F151" s="7"/>
      <c r="G151" s="7"/>
      <c r="H151" s="7"/>
      <c r="I151" s="7"/>
      <c r="J151" s="7"/>
      <c r="K151" s="7"/>
      <c r="L151" s="7"/>
      <c r="M151" s="7"/>
      <c r="N151" s="7"/>
      <c r="O151" s="7"/>
      <c r="P151" s="7"/>
      <c r="Q151" s="7"/>
      <c r="R151" s="7"/>
      <c r="S151" s="7"/>
      <c r="T151" s="7"/>
      <c r="U151" s="7"/>
      <c r="V151" s="7"/>
      <c r="W151" s="7"/>
    </row>
    <row r="152" spans="1:23" x14ac:dyDescent="0.25">
      <c r="A152" s="7"/>
      <c r="B152" s="7"/>
      <c r="C152" s="7"/>
      <c r="D152" s="7"/>
      <c r="E152" s="7"/>
      <c r="F152" s="7"/>
      <c r="G152" s="7"/>
      <c r="H152" s="7"/>
      <c r="I152" s="7"/>
      <c r="J152" s="7"/>
      <c r="K152" s="7"/>
      <c r="L152" s="7"/>
      <c r="M152" s="7"/>
      <c r="N152" s="7"/>
      <c r="O152" s="7"/>
      <c r="P152" s="7"/>
      <c r="Q152" s="7"/>
      <c r="R152" s="7"/>
      <c r="S152" s="7"/>
      <c r="T152" s="7"/>
      <c r="U152" s="7"/>
      <c r="V152" s="7"/>
      <c r="W152" s="7"/>
    </row>
    <row r="153" spans="1:23" x14ac:dyDescent="0.25">
      <c r="A153" s="7"/>
      <c r="B153" s="7"/>
      <c r="C153" s="7"/>
      <c r="D153" s="7"/>
      <c r="E153" s="7"/>
      <c r="F153" s="7"/>
      <c r="G153" s="7"/>
      <c r="H153" s="7"/>
      <c r="I153" s="7"/>
      <c r="J153" s="7"/>
      <c r="K153" s="7"/>
      <c r="L153" s="7"/>
      <c r="M153" s="7"/>
      <c r="N153" s="7"/>
      <c r="O153" s="7"/>
      <c r="P153" s="7"/>
      <c r="Q153" s="7"/>
      <c r="R153" s="7"/>
      <c r="S153" s="7"/>
      <c r="T153" s="7"/>
      <c r="U153" s="7"/>
      <c r="V153" s="7"/>
      <c r="W153" s="7"/>
    </row>
    <row r="154" spans="1:23" x14ac:dyDescent="0.25">
      <c r="A154" s="7"/>
      <c r="B154" s="7"/>
      <c r="C154" s="7"/>
      <c r="D154" s="7"/>
      <c r="E154" s="7"/>
      <c r="F154" s="7"/>
      <c r="G154" s="7"/>
      <c r="H154" s="7"/>
      <c r="I154" s="7"/>
      <c r="J154" s="7"/>
      <c r="K154" s="7"/>
      <c r="L154" s="7"/>
      <c r="M154" s="7"/>
      <c r="N154" s="7"/>
      <c r="O154" s="7"/>
      <c r="P154" s="7"/>
      <c r="Q154" s="7"/>
      <c r="R154" s="7"/>
      <c r="S154" s="7"/>
      <c r="T154" s="7"/>
      <c r="U154" s="7"/>
      <c r="V154" s="7"/>
      <c r="W154" s="7"/>
    </row>
    <row r="155" spans="1:23" x14ac:dyDescent="0.25">
      <c r="A155" s="7"/>
      <c r="B155" s="7"/>
      <c r="C155" s="7"/>
      <c r="D155" s="7"/>
      <c r="E155" s="7"/>
      <c r="F155" s="7"/>
      <c r="G155" s="7"/>
      <c r="H155" s="7"/>
      <c r="I155" s="7"/>
      <c r="J155" s="7"/>
      <c r="K155" s="7"/>
      <c r="L155" s="7"/>
      <c r="M155" s="7"/>
      <c r="N155" s="7"/>
      <c r="O155" s="7"/>
      <c r="P155" s="7"/>
      <c r="Q155" s="7"/>
      <c r="R155" s="7"/>
      <c r="S155" s="7"/>
      <c r="T155" s="7"/>
      <c r="U155" s="7"/>
      <c r="V155" s="7"/>
      <c r="W155" s="7"/>
    </row>
    <row r="156" spans="1:23" x14ac:dyDescent="0.25">
      <c r="A156" s="7"/>
      <c r="B156" s="7"/>
      <c r="C156" s="7"/>
      <c r="D156" s="7"/>
      <c r="E156" s="7"/>
      <c r="F156" s="7"/>
      <c r="G156" s="7"/>
      <c r="H156" s="7"/>
      <c r="I156" s="7"/>
      <c r="J156" s="7"/>
      <c r="K156" s="7"/>
      <c r="L156" s="7"/>
      <c r="M156" s="7"/>
      <c r="N156" s="7"/>
      <c r="O156" s="7"/>
      <c r="P156" s="7"/>
      <c r="Q156" s="7"/>
      <c r="R156" s="7"/>
      <c r="S156" s="7"/>
      <c r="T156" s="7"/>
      <c r="U156" s="7"/>
      <c r="V156" s="7"/>
      <c r="W156" s="7"/>
    </row>
    <row r="157" spans="1:23" x14ac:dyDescent="0.25">
      <c r="A157" s="7"/>
      <c r="B157" s="7"/>
      <c r="C157" s="7"/>
      <c r="D157" s="7"/>
      <c r="E157" s="7"/>
      <c r="F157" s="7"/>
      <c r="G157" s="7"/>
      <c r="H157" s="7"/>
      <c r="I157" s="7"/>
      <c r="J157" s="7"/>
      <c r="K157" s="7"/>
      <c r="L157" s="7"/>
      <c r="M157" s="7"/>
      <c r="N157" s="7"/>
      <c r="O157" s="7"/>
      <c r="P157" s="7"/>
      <c r="Q157" s="7"/>
      <c r="R157" s="7"/>
      <c r="S157" s="7"/>
      <c r="T157" s="7"/>
      <c r="U157" s="7"/>
      <c r="V157" s="7"/>
      <c r="W157" s="7"/>
    </row>
    <row r="158" spans="1:23" x14ac:dyDescent="0.25">
      <c r="A158" s="7"/>
      <c r="B158" s="7"/>
      <c r="C158" s="7"/>
      <c r="D158" s="7"/>
      <c r="E158" s="7"/>
      <c r="F158" s="7"/>
      <c r="G158" s="7"/>
      <c r="H158" s="7"/>
      <c r="I158" s="7"/>
      <c r="J158" s="7"/>
      <c r="K158" s="7"/>
      <c r="L158" s="7"/>
      <c r="M158" s="7"/>
      <c r="N158" s="7"/>
      <c r="O158" s="7"/>
      <c r="P158" s="7"/>
      <c r="Q158" s="7"/>
      <c r="R158" s="7"/>
      <c r="S158" s="7"/>
      <c r="T158" s="7"/>
      <c r="U158" s="7"/>
      <c r="V158" s="7"/>
      <c r="W158" s="7"/>
    </row>
    <row r="159" spans="1:23" x14ac:dyDescent="0.25">
      <c r="A159" s="7"/>
      <c r="B159" s="7"/>
      <c r="C159" s="7"/>
      <c r="D159" s="7"/>
      <c r="E159" s="7"/>
      <c r="F159" s="7"/>
      <c r="G159" s="7"/>
      <c r="H159" s="7"/>
      <c r="I159" s="7"/>
      <c r="J159" s="7"/>
      <c r="K159" s="7"/>
      <c r="L159" s="7"/>
      <c r="M159" s="7"/>
      <c r="N159" s="7"/>
      <c r="O159" s="7"/>
      <c r="P159" s="7"/>
      <c r="Q159" s="7"/>
      <c r="R159" s="7"/>
      <c r="S159" s="7"/>
      <c r="T159" s="7"/>
      <c r="U159" s="7"/>
      <c r="V159" s="7"/>
      <c r="W159" s="7"/>
    </row>
    <row r="160" spans="1:23" x14ac:dyDescent="0.25">
      <c r="A160" s="7"/>
      <c r="B160" s="7"/>
      <c r="C160" s="7"/>
      <c r="D160" s="7"/>
      <c r="E160" s="7"/>
      <c r="F160" s="7"/>
      <c r="G160" s="7"/>
      <c r="H160" s="7"/>
      <c r="I160" s="7"/>
      <c r="J160" s="7"/>
      <c r="K160" s="7"/>
      <c r="L160" s="7"/>
      <c r="M160" s="7"/>
      <c r="N160" s="7"/>
      <c r="O160" s="7"/>
      <c r="P160" s="7"/>
      <c r="Q160" s="7"/>
      <c r="R160" s="7"/>
      <c r="S160" s="7"/>
      <c r="T160" s="7"/>
      <c r="U160" s="7"/>
      <c r="V160" s="7"/>
      <c r="W160" s="7"/>
    </row>
    <row r="161" spans="1:23" x14ac:dyDescent="0.25">
      <c r="A161" s="7"/>
      <c r="B161" s="7"/>
      <c r="C161" s="7"/>
      <c r="D161" s="7"/>
      <c r="E161" s="7"/>
      <c r="F161" s="7"/>
      <c r="G161" s="7"/>
      <c r="H161" s="7"/>
      <c r="I161" s="7"/>
      <c r="J161" s="7"/>
      <c r="K161" s="7"/>
      <c r="L161" s="7"/>
      <c r="M161" s="7"/>
      <c r="N161" s="7"/>
      <c r="O161" s="7"/>
      <c r="P161" s="7"/>
      <c r="Q161" s="7"/>
      <c r="R161" s="7"/>
      <c r="S161" s="7"/>
      <c r="T161" s="7"/>
      <c r="U161" s="7"/>
      <c r="V161" s="7"/>
      <c r="W161" s="7"/>
    </row>
    <row r="162" spans="1:23" x14ac:dyDescent="0.25">
      <c r="A162" s="7"/>
      <c r="B162" s="7"/>
      <c r="C162" s="7"/>
      <c r="D162" s="7"/>
      <c r="E162" s="7"/>
      <c r="F162" s="7"/>
      <c r="G162" s="7"/>
      <c r="H162" s="7"/>
      <c r="I162" s="7"/>
      <c r="J162" s="7"/>
      <c r="K162" s="7"/>
      <c r="L162" s="7"/>
      <c r="M162" s="7"/>
      <c r="N162" s="7"/>
      <c r="O162" s="7"/>
      <c r="P162" s="7"/>
      <c r="Q162" s="7"/>
      <c r="R162" s="7"/>
      <c r="S162" s="7"/>
      <c r="T162" s="7"/>
      <c r="U162" s="7"/>
      <c r="V162" s="7"/>
      <c r="W162" s="7"/>
    </row>
    <row r="163" spans="1:23" x14ac:dyDescent="0.25">
      <c r="A163" s="7"/>
      <c r="B163" s="7"/>
      <c r="C163" s="7"/>
      <c r="D163" s="7"/>
      <c r="E163" s="7"/>
      <c r="F163" s="7"/>
      <c r="G163" s="7"/>
      <c r="H163" s="7"/>
      <c r="I163" s="7"/>
      <c r="J163" s="7"/>
      <c r="K163" s="7"/>
      <c r="L163" s="7"/>
      <c r="M163" s="7"/>
      <c r="N163" s="7"/>
      <c r="O163" s="7"/>
      <c r="P163" s="7"/>
      <c r="Q163" s="7"/>
      <c r="R163" s="7"/>
      <c r="S163" s="7"/>
      <c r="T163" s="7"/>
      <c r="U163" s="7"/>
      <c r="V163" s="7"/>
      <c r="W163" s="7"/>
    </row>
    <row r="164" spans="1:23" x14ac:dyDescent="0.25">
      <c r="A164" s="7"/>
      <c r="B164" s="7"/>
      <c r="C164" s="7"/>
      <c r="D164" s="7"/>
      <c r="E164" s="7"/>
      <c r="F164" s="7"/>
      <c r="G164" s="7"/>
      <c r="H164" s="7"/>
      <c r="I164" s="7"/>
      <c r="J164" s="7"/>
      <c r="K164" s="7"/>
      <c r="L164" s="7"/>
      <c r="M164" s="7"/>
      <c r="N164" s="7"/>
      <c r="O164" s="7"/>
      <c r="P164" s="7"/>
      <c r="Q164" s="7"/>
      <c r="R164" s="7"/>
      <c r="S164" s="7"/>
      <c r="T164" s="7"/>
      <c r="U164" s="7"/>
      <c r="V164" s="7"/>
      <c r="W164" s="7"/>
    </row>
    <row r="165" spans="1:23" x14ac:dyDescent="0.25">
      <c r="A165" s="7"/>
      <c r="B165" s="7"/>
      <c r="C165" s="7"/>
      <c r="D165" s="7"/>
      <c r="E165" s="7"/>
      <c r="F165" s="7"/>
      <c r="G165" s="7"/>
      <c r="H165" s="7"/>
      <c r="I165" s="7"/>
      <c r="J165" s="7"/>
      <c r="K165" s="7"/>
      <c r="L165" s="7"/>
      <c r="M165" s="7"/>
      <c r="N165" s="7"/>
      <c r="O165" s="7"/>
      <c r="P165" s="7"/>
      <c r="Q165" s="7"/>
      <c r="R165" s="7"/>
      <c r="S165" s="7"/>
      <c r="T165" s="7"/>
      <c r="U165" s="7"/>
      <c r="V165" s="7"/>
      <c r="W165" s="7"/>
    </row>
    <row r="166" spans="1:23" x14ac:dyDescent="0.25">
      <c r="A166" s="7"/>
      <c r="B166" s="7"/>
      <c r="C166" s="7"/>
      <c r="D166" s="7"/>
      <c r="E166" s="7"/>
      <c r="F166" s="7"/>
      <c r="G166" s="7"/>
      <c r="H166" s="7"/>
      <c r="I166" s="7"/>
      <c r="J166" s="7"/>
      <c r="K166" s="7"/>
      <c r="L166" s="7"/>
      <c r="M166" s="7"/>
      <c r="N166" s="7"/>
      <c r="O166" s="7"/>
      <c r="P166" s="7"/>
      <c r="Q166" s="7"/>
      <c r="R166" s="7"/>
      <c r="S166" s="7"/>
      <c r="T166" s="7"/>
      <c r="U166" s="7"/>
      <c r="V166" s="7"/>
      <c r="W166" s="7"/>
    </row>
    <row r="167" spans="1:23" x14ac:dyDescent="0.25">
      <c r="A167" s="7"/>
      <c r="B167" s="7"/>
      <c r="C167" s="7"/>
      <c r="D167" s="7"/>
      <c r="E167" s="7"/>
      <c r="F167" s="7"/>
      <c r="G167" s="7"/>
      <c r="H167" s="7"/>
      <c r="I167" s="7"/>
      <c r="J167" s="7"/>
      <c r="K167" s="7"/>
      <c r="L167" s="7"/>
      <c r="M167" s="7"/>
      <c r="N167" s="7"/>
      <c r="O167" s="7"/>
      <c r="P167" s="7"/>
      <c r="Q167" s="7"/>
      <c r="R167" s="7"/>
      <c r="S167" s="7"/>
      <c r="T167" s="7"/>
      <c r="U167" s="7"/>
      <c r="V167" s="7"/>
      <c r="W167" s="7"/>
    </row>
    <row r="168" spans="1:23" x14ac:dyDescent="0.25">
      <c r="A168" s="7"/>
      <c r="B168" s="7"/>
      <c r="C168" s="7"/>
      <c r="D168" s="7"/>
      <c r="E168" s="7"/>
      <c r="F168" s="7"/>
      <c r="G168" s="7"/>
      <c r="H168" s="7"/>
      <c r="I168" s="7"/>
      <c r="J168" s="7"/>
      <c r="K168" s="7"/>
      <c r="L168" s="7"/>
      <c r="M168" s="7"/>
      <c r="N168" s="7"/>
      <c r="O168" s="7"/>
      <c r="P168" s="7"/>
      <c r="Q168" s="7"/>
      <c r="R168" s="7"/>
      <c r="S168" s="7"/>
      <c r="T168" s="7"/>
      <c r="U168" s="7"/>
      <c r="V168" s="7"/>
      <c r="W168" s="7"/>
    </row>
    <row r="169" spans="1:23" x14ac:dyDescent="0.25">
      <c r="A169" s="7"/>
      <c r="B169" s="7"/>
      <c r="C169" s="7"/>
      <c r="D169" s="7"/>
      <c r="E169" s="7"/>
      <c r="F169" s="7"/>
      <c r="G169" s="7"/>
      <c r="H169" s="7"/>
      <c r="I169" s="7"/>
      <c r="J169" s="7"/>
      <c r="K169" s="7"/>
      <c r="L169" s="7"/>
      <c r="M169" s="7"/>
      <c r="N169" s="7"/>
      <c r="O169" s="7"/>
      <c r="P169" s="7"/>
      <c r="Q169" s="7"/>
      <c r="R169" s="7"/>
      <c r="S169" s="7"/>
      <c r="T169" s="7"/>
      <c r="U169" s="7"/>
      <c r="V169" s="7"/>
      <c r="W169" s="7"/>
    </row>
    <row r="170" spans="1:23" x14ac:dyDescent="0.25">
      <c r="A170" s="7"/>
      <c r="B170" s="7"/>
      <c r="C170" s="7"/>
      <c r="D170" s="7"/>
      <c r="E170" s="7"/>
      <c r="F170" s="7"/>
      <c r="G170" s="7"/>
      <c r="H170" s="7"/>
      <c r="I170" s="7"/>
      <c r="J170" s="7"/>
      <c r="K170" s="7"/>
      <c r="L170" s="7"/>
      <c r="M170" s="7"/>
      <c r="N170" s="7"/>
      <c r="O170" s="7"/>
      <c r="P170" s="7"/>
      <c r="Q170" s="7"/>
      <c r="R170" s="7"/>
      <c r="S170" s="7"/>
      <c r="T170" s="7"/>
      <c r="U170" s="7"/>
      <c r="V170" s="7"/>
      <c r="W170" s="7"/>
    </row>
    <row r="171" spans="1:23" x14ac:dyDescent="0.25">
      <c r="A171" s="7"/>
      <c r="B171" s="7"/>
      <c r="C171" s="7"/>
      <c r="D171" s="7"/>
      <c r="E171" s="7"/>
      <c r="F171" s="7"/>
      <c r="G171" s="7"/>
      <c r="H171" s="7"/>
      <c r="I171" s="7"/>
      <c r="J171" s="7"/>
      <c r="K171" s="7"/>
      <c r="L171" s="7"/>
      <c r="M171" s="7"/>
      <c r="N171" s="7"/>
      <c r="O171" s="7"/>
      <c r="P171" s="7"/>
      <c r="Q171" s="7"/>
      <c r="R171" s="7"/>
      <c r="S171" s="7"/>
      <c r="T171" s="7"/>
      <c r="U171" s="7"/>
      <c r="V171" s="7"/>
      <c r="W171" s="7"/>
    </row>
    <row r="172" spans="1:23" x14ac:dyDescent="0.25">
      <c r="A172" s="7"/>
      <c r="B172" s="7"/>
      <c r="C172" s="7"/>
      <c r="D172" s="7"/>
      <c r="E172" s="7"/>
      <c r="F172" s="7"/>
      <c r="G172" s="7"/>
      <c r="H172" s="7"/>
      <c r="I172" s="7"/>
      <c r="J172" s="7"/>
      <c r="K172" s="7"/>
      <c r="L172" s="7"/>
      <c r="M172" s="7"/>
      <c r="N172" s="7"/>
      <c r="O172" s="7"/>
      <c r="P172" s="7"/>
      <c r="Q172" s="7"/>
      <c r="R172" s="7"/>
      <c r="S172" s="7"/>
      <c r="T172" s="7"/>
      <c r="U172" s="7"/>
      <c r="V172" s="7"/>
      <c r="W172" s="7"/>
    </row>
    <row r="173" spans="1:23" x14ac:dyDescent="0.25">
      <c r="A173" s="7"/>
      <c r="B173" s="7"/>
      <c r="C173" s="7"/>
      <c r="D173" s="7"/>
      <c r="E173" s="7"/>
      <c r="F173" s="7"/>
      <c r="G173" s="7"/>
      <c r="H173" s="7"/>
      <c r="I173" s="7"/>
      <c r="J173" s="7"/>
      <c r="K173" s="7"/>
      <c r="L173" s="7"/>
      <c r="M173" s="7"/>
      <c r="N173" s="7"/>
      <c r="O173" s="7"/>
      <c r="P173" s="7"/>
      <c r="Q173" s="7"/>
      <c r="R173" s="7"/>
      <c r="S173" s="7"/>
      <c r="T173" s="7"/>
      <c r="U173" s="7"/>
      <c r="V173" s="7"/>
      <c r="W173" s="7"/>
    </row>
    <row r="174" spans="1:23" x14ac:dyDescent="0.25">
      <c r="A174" s="7"/>
      <c r="B174" s="7"/>
      <c r="C174" s="7"/>
      <c r="D174" s="7"/>
      <c r="E174" s="7"/>
      <c r="F174" s="7"/>
      <c r="G174" s="7"/>
      <c r="H174" s="7"/>
      <c r="I174" s="7"/>
      <c r="J174" s="7"/>
      <c r="K174" s="7"/>
      <c r="L174" s="7"/>
      <c r="M174" s="7"/>
      <c r="N174" s="7"/>
      <c r="O174" s="7"/>
      <c r="P174" s="7"/>
      <c r="Q174" s="7"/>
      <c r="R174" s="7"/>
      <c r="S174" s="7"/>
      <c r="T174" s="7"/>
      <c r="U174" s="7"/>
      <c r="V174" s="7"/>
      <c r="W174" s="7"/>
    </row>
    <row r="175" spans="1:23" x14ac:dyDescent="0.25">
      <c r="A175" s="7"/>
      <c r="B175" s="7"/>
      <c r="C175" s="7"/>
      <c r="D175" s="7"/>
      <c r="E175" s="7"/>
      <c r="F175" s="7"/>
      <c r="G175" s="7"/>
      <c r="H175" s="7"/>
      <c r="I175" s="7"/>
      <c r="J175" s="7"/>
      <c r="K175" s="7"/>
      <c r="L175" s="7"/>
      <c r="M175" s="7"/>
      <c r="N175" s="7"/>
      <c r="O175" s="7"/>
      <c r="P175" s="7"/>
      <c r="Q175" s="7"/>
      <c r="R175" s="7"/>
      <c r="S175" s="7"/>
      <c r="T175" s="7"/>
      <c r="U175" s="7"/>
      <c r="V175" s="7"/>
      <c r="W175" s="7"/>
    </row>
    <row r="176" spans="1:23" x14ac:dyDescent="0.25">
      <c r="A176" s="7"/>
      <c r="B176" s="7"/>
      <c r="C176" s="7"/>
      <c r="D176" s="7"/>
      <c r="E176" s="7"/>
      <c r="F176" s="7"/>
      <c r="G176" s="7"/>
      <c r="H176" s="7"/>
      <c r="I176" s="7"/>
      <c r="J176" s="7"/>
      <c r="K176" s="7"/>
      <c r="L176" s="7"/>
      <c r="M176" s="7"/>
      <c r="N176" s="7"/>
      <c r="O176" s="7"/>
      <c r="P176" s="7"/>
      <c r="Q176" s="7"/>
      <c r="R176" s="7"/>
      <c r="S176" s="7"/>
      <c r="T176" s="7"/>
      <c r="U176" s="7"/>
      <c r="V176" s="7"/>
      <c r="W176" s="7"/>
    </row>
    <row r="177" spans="1:23" x14ac:dyDescent="0.25">
      <c r="A177" s="7"/>
      <c r="B177" s="7"/>
      <c r="C177" s="7"/>
      <c r="D177" s="7"/>
      <c r="E177" s="7"/>
      <c r="F177" s="7"/>
      <c r="G177" s="7"/>
      <c r="H177" s="7"/>
      <c r="I177" s="7"/>
      <c r="J177" s="7"/>
      <c r="K177" s="7"/>
      <c r="L177" s="7"/>
      <c r="M177" s="7"/>
      <c r="N177" s="7"/>
      <c r="O177" s="7"/>
      <c r="P177" s="7"/>
      <c r="Q177" s="7"/>
      <c r="R177" s="7"/>
      <c r="S177" s="7"/>
      <c r="T177" s="7"/>
      <c r="U177" s="7"/>
      <c r="V177" s="7"/>
      <c r="W177" s="7"/>
    </row>
    <row r="178" spans="1:23" x14ac:dyDescent="0.25">
      <c r="A178" s="7"/>
      <c r="B178" s="7"/>
      <c r="C178" s="7"/>
      <c r="D178" s="7"/>
      <c r="E178" s="7"/>
      <c r="F178" s="7"/>
      <c r="G178" s="7"/>
      <c r="H178" s="7"/>
      <c r="I178" s="7"/>
      <c r="J178" s="7"/>
      <c r="K178" s="7"/>
      <c r="L178" s="7"/>
      <c r="M178" s="7"/>
      <c r="N178" s="7"/>
      <c r="O178" s="7"/>
      <c r="P178" s="7"/>
      <c r="Q178" s="7"/>
      <c r="R178" s="7"/>
      <c r="S178" s="7"/>
      <c r="T178" s="7"/>
      <c r="U178" s="7"/>
      <c r="V178" s="7"/>
      <c r="W178" s="7"/>
    </row>
    <row r="179" spans="1:23" x14ac:dyDescent="0.25">
      <c r="A179" s="7"/>
      <c r="B179" s="7"/>
      <c r="C179" s="7"/>
      <c r="D179" s="7"/>
      <c r="E179" s="7"/>
      <c r="F179" s="7"/>
      <c r="G179" s="7"/>
      <c r="H179" s="7"/>
      <c r="I179" s="7"/>
      <c r="J179" s="7"/>
      <c r="K179" s="7"/>
      <c r="L179" s="7"/>
      <c r="M179" s="7"/>
      <c r="N179" s="7"/>
      <c r="O179" s="7"/>
      <c r="P179" s="7"/>
      <c r="Q179" s="7"/>
      <c r="R179" s="7"/>
      <c r="S179" s="7"/>
      <c r="T179" s="7"/>
      <c r="U179" s="7"/>
      <c r="V179" s="7"/>
      <c r="W179" s="7"/>
    </row>
    <row r="180" spans="1:23" x14ac:dyDescent="0.25">
      <c r="A180" s="7"/>
      <c r="B180" s="7"/>
      <c r="C180" s="7"/>
      <c r="D180" s="7"/>
      <c r="E180" s="7"/>
      <c r="F180" s="7"/>
      <c r="G180" s="7"/>
      <c r="H180" s="7"/>
      <c r="I180" s="7"/>
      <c r="J180" s="7"/>
      <c r="K180" s="7"/>
      <c r="L180" s="7"/>
      <c r="M180" s="7"/>
      <c r="N180" s="7"/>
      <c r="O180" s="7"/>
      <c r="P180" s="7"/>
      <c r="Q180" s="7"/>
      <c r="R180" s="7"/>
      <c r="S180" s="7"/>
      <c r="T180" s="7"/>
      <c r="U180" s="7"/>
      <c r="V180" s="7"/>
      <c r="W180" s="7"/>
    </row>
    <row r="181" spans="1:23" x14ac:dyDescent="0.25">
      <c r="A181" s="7"/>
      <c r="B181" s="7"/>
      <c r="C181" s="7"/>
      <c r="D181" s="7"/>
      <c r="E181" s="7"/>
      <c r="F181" s="7"/>
      <c r="G181" s="7"/>
      <c r="H181" s="7"/>
      <c r="I181" s="7"/>
      <c r="J181" s="7"/>
      <c r="K181" s="7"/>
      <c r="L181" s="7"/>
      <c r="M181" s="7"/>
      <c r="N181" s="7"/>
      <c r="O181" s="7"/>
      <c r="P181" s="7"/>
      <c r="Q181" s="7"/>
      <c r="R181" s="7"/>
      <c r="S181" s="7"/>
      <c r="T181" s="7"/>
      <c r="U181" s="7"/>
      <c r="V181" s="7"/>
      <c r="W181" s="7"/>
    </row>
    <row r="182" spans="1:23" x14ac:dyDescent="0.25">
      <c r="A182" s="7"/>
      <c r="B182" s="7"/>
      <c r="C182" s="7"/>
      <c r="D182" s="7"/>
      <c r="E182" s="7"/>
      <c r="F182" s="7"/>
      <c r="G182" s="7"/>
      <c r="H182" s="7"/>
      <c r="I182" s="7"/>
      <c r="J182" s="7"/>
      <c r="K182" s="7"/>
      <c r="L182" s="7"/>
      <c r="M182" s="7"/>
      <c r="N182" s="7"/>
      <c r="O182" s="7"/>
      <c r="P182" s="7"/>
      <c r="Q182" s="7"/>
      <c r="R182" s="7"/>
      <c r="S182" s="7"/>
      <c r="T182" s="7"/>
      <c r="U182" s="7"/>
      <c r="V182" s="7"/>
      <c r="W182" s="7"/>
    </row>
    <row r="183" spans="1:23" x14ac:dyDescent="0.25">
      <c r="A183" s="7"/>
      <c r="B183" s="7"/>
      <c r="C183" s="7"/>
      <c r="D183" s="7"/>
      <c r="E183" s="7"/>
      <c r="F183" s="7"/>
      <c r="G183" s="7"/>
      <c r="H183" s="7"/>
      <c r="I183" s="7"/>
      <c r="J183" s="7"/>
      <c r="K183" s="7"/>
      <c r="L183" s="7"/>
      <c r="M183" s="7"/>
      <c r="N183" s="7"/>
      <c r="O183" s="7"/>
      <c r="P183" s="7"/>
      <c r="Q183" s="7"/>
      <c r="R183" s="7"/>
      <c r="S183" s="7"/>
      <c r="T183" s="7"/>
      <c r="U183" s="7"/>
      <c r="V183" s="7"/>
      <c r="W183" s="7"/>
    </row>
    <row r="184" spans="1:23" x14ac:dyDescent="0.25">
      <c r="A184" s="7"/>
      <c r="B184" s="7"/>
      <c r="C184" s="7"/>
      <c r="D184" s="7"/>
      <c r="E184" s="7"/>
      <c r="F184" s="7"/>
      <c r="G184" s="7"/>
      <c r="H184" s="7"/>
      <c r="I184" s="7"/>
      <c r="J184" s="7"/>
      <c r="K184" s="7"/>
      <c r="L184" s="7"/>
      <c r="M184" s="7"/>
      <c r="N184" s="7"/>
      <c r="O184" s="7"/>
      <c r="P184" s="7"/>
      <c r="Q184" s="7"/>
      <c r="R184" s="7"/>
      <c r="S184" s="7"/>
      <c r="T184" s="7"/>
      <c r="U184" s="7"/>
      <c r="V184" s="7"/>
      <c r="W184" s="7"/>
    </row>
    <row r="185" spans="1:23" x14ac:dyDescent="0.25">
      <c r="A185" s="7"/>
      <c r="B185" s="7"/>
      <c r="C185" s="7"/>
      <c r="D185" s="7"/>
      <c r="E185" s="7"/>
      <c r="F185" s="7"/>
      <c r="G185" s="7"/>
      <c r="H185" s="7"/>
      <c r="I185" s="7"/>
      <c r="J185" s="7"/>
      <c r="K185" s="7"/>
      <c r="L185" s="7"/>
      <c r="M185" s="7"/>
      <c r="N185" s="7"/>
      <c r="O185" s="7"/>
      <c r="P185" s="7"/>
      <c r="Q185" s="7"/>
      <c r="R185" s="7"/>
      <c r="S185" s="7"/>
      <c r="T185" s="7"/>
      <c r="U185" s="7"/>
      <c r="V185" s="7"/>
      <c r="W185" s="7"/>
    </row>
    <row r="186" spans="1:23" x14ac:dyDescent="0.25">
      <c r="A186" s="7"/>
      <c r="B186" s="7"/>
      <c r="C186" s="7"/>
      <c r="D186" s="7"/>
      <c r="E186" s="7"/>
      <c r="F186" s="7"/>
      <c r="G186" s="7"/>
      <c r="H186" s="7"/>
      <c r="I186" s="7"/>
      <c r="J186" s="7"/>
      <c r="K186" s="7"/>
      <c r="L186" s="7"/>
      <c r="M186" s="7"/>
      <c r="N186" s="7"/>
      <c r="O186" s="7"/>
      <c r="P186" s="7"/>
      <c r="Q186" s="7"/>
      <c r="R186" s="7"/>
      <c r="S186" s="7"/>
      <c r="T186" s="7"/>
      <c r="U186" s="7"/>
      <c r="V186" s="7"/>
      <c r="W186" s="7"/>
    </row>
    <row r="187" spans="1:23" x14ac:dyDescent="0.25">
      <c r="A187" s="7"/>
      <c r="B187" s="7"/>
      <c r="C187" s="7"/>
      <c r="D187" s="7"/>
      <c r="E187" s="7"/>
      <c r="F187" s="7"/>
      <c r="G187" s="7"/>
      <c r="H187" s="7"/>
      <c r="I187" s="7"/>
      <c r="J187" s="7"/>
      <c r="K187" s="7"/>
      <c r="L187" s="7"/>
      <c r="M187" s="7"/>
      <c r="N187" s="7"/>
      <c r="O187" s="7"/>
      <c r="P187" s="7"/>
      <c r="Q187" s="7"/>
      <c r="R187" s="7"/>
      <c r="S187" s="7"/>
      <c r="T187" s="7"/>
      <c r="U187" s="7"/>
      <c r="V187" s="7"/>
      <c r="W187" s="7"/>
    </row>
    <row r="188" spans="1:23" x14ac:dyDescent="0.25">
      <c r="A188" s="7"/>
      <c r="B188" s="7"/>
      <c r="C188" s="7"/>
      <c r="D188" s="7"/>
      <c r="E188" s="7"/>
      <c r="F188" s="7"/>
      <c r="G188" s="7"/>
      <c r="H188" s="7"/>
      <c r="I188" s="7"/>
      <c r="J188" s="7"/>
      <c r="K188" s="7"/>
      <c r="L188" s="7"/>
      <c r="M188" s="7"/>
      <c r="N188" s="7"/>
      <c r="O188" s="7"/>
      <c r="P188" s="7"/>
      <c r="Q188" s="7"/>
      <c r="R188" s="7"/>
      <c r="S188" s="7"/>
      <c r="T188" s="7"/>
      <c r="U188" s="7"/>
      <c r="V188" s="7"/>
      <c r="W188" s="7"/>
    </row>
    <row r="189" spans="1:23" x14ac:dyDescent="0.25">
      <c r="A189" s="7"/>
      <c r="B189" s="7"/>
      <c r="C189" s="7"/>
      <c r="D189" s="7"/>
      <c r="E189" s="7"/>
      <c r="F189" s="7"/>
      <c r="G189" s="7"/>
      <c r="H189" s="7"/>
      <c r="I189" s="7"/>
      <c r="J189" s="7"/>
      <c r="K189" s="7"/>
      <c r="L189" s="7"/>
      <c r="M189" s="7"/>
      <c r="N189" s="7"/>
      <c r="O189" s="7"/>
      <c r="P189" s="7"/>
      <c r="Q189" s="7"/>
      <c r="R189" s="7"/>
      <c r="S189" s="7"/>
      <c r="T189" s="7"/>
      <c r="U189" s="7"/>
      <c r="V189" s="7"/>
      <c r="W189" s="7"/>
    </row>
    <row r="190" spans="1:23" x14ac:dyDescent="0.25">
      <c r="A190" s="7"/>
      <c r="B190" s="7"/>
      <c r="C190" s="7"/>
      <c r="D190" s="7"/>
      <c r="E190" s="7"/>
      <c r="F190" s="7"/>
      <c r="G190" s="7"/>
      <c r="H190" s="7"/>
      <c r="I190" s="7"/>
      <c r="J190" s="7"/>
      <c r="K190" s="7"/>
      <c r="L190" s="7"/>
      <c r="M190" s="7"/>
      <c r="N190" s="7"/>
      <c r="O190" s="7"/>
      <c r="P190" s="7"/>
      <c r="Q190" s="7"/>
      <c r="R190" s="7"/>
      <c r="S190" s="7"/>
      <c r="T190" s="7"/>
      <c r="U190" s="7"/>
      <c r="V190" s="7"/>
      <c r="W190" s="7"/>
    </row>
    <row r="191" spans="1:23" x14ac:dyDescent="0.25">
      <c r="A191" s="7"/>
      <c r="B191" s="7"/>
      <c r="C191" s="7"/>
      <c r="D191" s="7"/>
      <c r="E191" s="7"/>
      <c r="F191" s="7"/>
      <c r="G191" s="7"/>
      <c r="H191" s="7"/>
      <c r="I191" s="7"/>
      <c r="J191" s="7"/>
      <c r="K191" s="7"/>
      <c r="L191" s="7"/>
      <c r="M191" s="7"/>
      <c r="N191" s="7"/>
      <c r="O191" s="7"/>
      <c r="P191" s="7"/>
      <c r="Q191" s="7"/>
      <c r="R191" s="7"/>
      <c r="S191" s="7"/>
      <c r="T191" s="7"/>
      <c r="U191" s="7"/>
      <c r="V191" s="7"/>
      <c r="W191" s="7"/>
    </row>
    <row r="192" spans="1:23" x14ac:dyDescent="0.25">
      <c r="A192" s="7"/>
      <c r="B192" s="7"/>
      <c r="C192" s="7"/>
      <c r="D192" s="7"/>
      <c r="E192" s="7"/>
      <c r="F192" s="7"/>
      <c r="G192" s="7"/>
      <c r="H192" s="7"/>
      <c r="I192" s="7"/>
      <c r="J192" s="7"/>
      <c r="K192" s="7"/>
      <c r="L192" s="7"/>
      <c r="M192" s="7"/>
      <c r="N192" s="7"/>
      <c r="O192" s="7"/>
      <c r="P192" s="7"/>
      <c r="Q192" s="7"/>
      <c r="R192" s="7"/>
      <c r="S192" s="7"/>
      <c r="T192" s="7"/>
      <c r="U192" s="7"/>
      <c r="V192" s="7"/>
      <c r="W192" s="7"/>
    </row>
    <row r="193" spans="1:23" x14ac:dyDescent="0.25">
      <c r="A193" s="7"/>
      <c r="B193" s="7"/>
      <c r="C193" s="7"/>
      <c r="D193" s="7"/>
      <c r="E193" s="7"/>
      <c r="F193" s="7"/>
      <c r="G193" s="7"/>
      <c r="H193" s="7"/>
      <c r="I193" s="7"/>
      <c r="J193" s="7"/>
      <c r="K193" s="7"/>
      <c r="L193" s="7"/>
      <c r="M193" s="7"/>
      <c r="N193" s="7"/>
      <c r="O193" s="7"/>
      <c r="P193" s="7"/>
      <c r="Q193" s="7"/>
      <c r="R193" s="7"/>
      <c r="S193" s="7"/>
      <c r="T193" s="7"/>
      <c r="U193" s="7"/>
      <c r="V193" s="7"/>
      <c r="W193" s="7"/>
    </row>
    <row r="194" spans="1:23" x14ac:dyDescent="0.25">
      <c r="A194" s="7"/>
      <c r="B194" s="7"/>
      <c r="C194" s="7"/>
      <c r="D194" s="7"/>
      <c r="E194" s="7"/>
      <c r="F194" s="7"/>
      <c r="G194" s="7"/>
      <c r="H194" s="7"/>
      <c r="I194" s="7"/>
      <c r="J194" s="7"/>
      <c r="K194" s="7"/>
      <c r="L194" s="7"/>
      <c r="M194" s="7"/>
      <c r="N194" s="7"/>
      <c r="O194" s="7"/>
      <c r="P194" s="7"/>
      <c r="Q194" s="7"/>
      <c r="R194" s="7"/>
      <c r="S194" s="7"/>
      <c r="T194" s="7"/>
      <c r="U194" s="7"/>
      <c r="V194" s="7"/>
      <c r="W194" s="7"/>
    </row>
    <row r="195" spans="1:23" x14ac:dyDescent="0.25">
      <c r="A195" s="7"/>
      <c r="B195" s="7"/>
      <c r="C195" s="7"/>
      <c r="D195" s="7"/>
      <c r="E195" s="7"/>
      <c r="F195" s="7"/>
      <c r="G195" s="7"/>
      <c r="H195" s="7"/>
      <c r="I195" s="7"/>
      <c r="J195" s="7"/>
      <c r="K195" s="7"/>
      <c r="L195" s="7"/>
      <c r="M195" s="7"/>
      <c r="N195" s="7"/>
      <c r="O195" s="7"/>
      <c r="P195" s="7"/>
      <c r="Q195" s="7"/>
      <c r="R195" s="7"/>
      <c r="S195" s="7"/>
      <c r="T195" s="7"/>
      <c r="U195" s="7"/>
      <c r="V195" s="7"/>
      <c r="W195" s="7"/>
    </row>
    <row r="196" spans="1:23" x14ac:dyDescent="0.25">
      <c r="A196" s="7"/>
      <c r="B196" s="7"/>
      <c r="C196" s="7"/>
      <c r="D196" s="7"/>
      <c r="E196" s="7"/>
      <c r="F196" s="7"/>
      <c r="G196" s="7"/>
      <c r="H196" s="7"/>
      <c r="I196" s="7"/>
      <c r="J196" s="7"/>
      <c r="K196" s="7"/>
      <c r="L196" s="7"/>
      <c r="M196" s="7"/>
      <c r="N196" s="7"/>
      <c r="O196" s="7"/>
      <c r="P196" s="7"/>
      <c r="Q196" s="7"/>
      <c r="R196" s="7"/>
      <c r="S196" s="7"/>
      <c r="T196" s="7"/>
      <c r="U196" s="7"/>
      <c r="V196" s="7"/>
      <c r="W196" s="7"/>
    </row>
    <row r="197" spans="1:23" x14ac:dyDescent="0.25">
      <c r="A197" s="7"/>
      <c r="B197" s="7"/>
      <c r="C197" s="7"/>
      <c r="D197" s="7"/>
      <c r="E197" s="7"/>
      <c r="F197" s="7"/>
      <c r="G197" s="7"/>
      <c r="H197" s="7"/>
      <c r="I197" s="7"/>
      <c r="J197" s="7"/>
      <c r="K197" s="7"/>
      <c r="L197" s="7"/>
      <c r="M197" s="7"/>
      <c r="N197" s="7"/>
      <c r="O197" s="7"/>
      <c r="P197" s="7"/>
      <c r="Q197" s="7"/>
      <c r="R197" s="7"/>
      <c r="S197" s="7"/>
      <c r="T197" s="7"/>
      <c r="U197" s="7"/>
      <c r="V197" s="7"/>
      <c r="W197" s="7"/>
    </row>
    <row r="198" spans="1:23" x14ac:dyDescent="0.25">
      <c r="A198" s="7"/>
      <c r="B198" s="7"/>
      <c r="C198" s="7"/>
      <c r="D198" s="7"/>
      <c r="E198" s="7"/>
      <c r="F198" s="7"/>
      <c r="G198" s="7"/>
      <c r="H198" s="7"/>
      <c r="I198" s="7"/>
      <c r="J198" s="7"/>
      <c r="K198" s="7"/>
      <c r="L198" s="7"/>
      <c r="M198" s="7"/>
      <c r="N198" s="7"/>
      <c r="O198" s="7"/>
      <c r="P198" s="7"/>
      <c r="Q198" s="7"/>
      <c r="R198" s="7"/>
      <c r="S198" s="7"/>
      <c r="T198" s="7"/>
      <c r="U198" s="7"/>
      <c r="V198" s="7"/>
      <c r="W198" s="7"/>
    </row>
    <row r="199" spans="1:23" x14ac:dyDescent="0.25">
      <c r="A199" s="7"/>
      <c r="B199" s="7"/>
      <c r="C199" s="7"/>
      <c r="D199" s="7"/>
      <c r="E199" s="7"/>
      <c r="F199" s="7"/>
      <c r="G199" s="7"/>
      <c r="H199" s="7"/>
      <c r="I199" s="7"/>
      <c r="J199" s="7"/>
      <c r="K199" s="7"/>
      <c r="L199" s="7"/>
      <c r="M199" s="7"/>
      <c r="N199" s="7"/>
      <c r="O199" s="7"/>
      <c r="P199" s="7"/>
      <c r="Q199" s="7"/>
      <c r="R199" s="7"/>
      <c r="S199" s="7"/>
      <c r="T199" s="7"/>
      <c r="U199" s="7"/>
      <c r="V199" s="7"/>
      <c r="W199" s="7"/>
    </row>
    <row r="200" spans="1:23" x14ac:dyDescent="0.25">
      <c r="A200" s="7"/>
      <c r="B200" s="7"/>
      <c r="C200" s="7"/>
      <c r="D200" s="7"/>
      <c r="E200" s="7"/>
      <c r="F200" s="7"/>
      <c r="G200" s="7"/>
      <c r="H200" s="7"/>
      <c r="I200" s="7"/>
      <c r="J200" s="7"/>
      <c r="K200" s="7"/>
      <c r="L200" s="7"/>
      <c r="M200" s="7"/>
      <c r="N200" s="7"/>
      <c r="O200" s="7"/>
      <c r="P200" s="7"/>
      <c r="Q200" s="7"/>
      <c r="R200" s="7"/>
      <c r="S200" s="7"/>
      <c r="T200" s="7"/>
      <c r="U200" s="7"/>
      <c r="V200" s="7"/>
      <c r="W200" s="7"/>
    </row>
    <row r="201" spans="1:23" x14ac:dyDescent="0.25">
      <c r="A201" s="7"/>
      <c r="B201" s="7"/>
      <c r="C201" s="7"/>
      <c r="D201" s="7"/>
      <c r="E201" s="7"/>
      <c r="F201" s="7"/>
      <c r="G201" s="7"/>
      <c r="H201" s="7"/>
      <c r="I201" s="7"/>
      <c r="J201" s="7"/>
      <c r="K201" s="7"/>
      <c r="L201" s="7"/>
      <c r="M201" s="7"/>
      <c r="N201" s="7"/>
      <c r="O201" s="7"/>
      <c r="P201" s="7"/>
      <c r="Q201" s="7"/>
      <c r="R201" s="7"/>
      <c r="S201" s="7"/>
      <c r="T201" s="7"/>
      <c r="U201" s="7"/>
      <c r="V201" s="7"/>
      <c r="W201" s="7"/>
    </row>
    <row r="202" spans="1:23" x14ac:dyDescent="0.25">
      <c r="A202" s="7"/>
      <c r="B202" s="7"/>
      <c r="C202" s="7"/>
      <c r="D202" s="7"/>
      <c r="E202" s="7"/>
      <c r="F202" s="7"/>
      <c r="G202" s="7"/>
      <c r="H202" s="7"/>
      <c r="I202" s="7"/>
      <c r="J202" s="7"/>
      <c r="K202" s="7"/>
      <c r="L202" s="7"/>
      <c r="M202" s="7"/>
      <c r="N202" s="7"/>
      <c r="O202" s="7"/>
      <c r="P202" s="7"/>
      <c r="Q202" s="7"/>
      <c r="R202" s="7"/>
      <c r="S202" s="7"/>
      <c r="T202" s="7"/>
      <c r="U202" s="7"/>
      <c r="V202" s="7"/>
      <c r="W202" s="7"/>
    </row>
    <row r="203" spans="1:23" x14ac:dyDescent="0.25">
      <c r="A203" s="7"/>
      <c r="B203" s="7"/>
      <c r="C203" s="7"/>
      <c r="D203" s="7"/>
      <c r="E203" s="7"/>
      <c r="F203" s="7"/>
      <c r="G203" s="7"/>
      <c r="H203" s="7"/>
      <c r="I203" s="7"/>
      <c r="J203" s="7"/>
      <c r="K203" s="7"/>
      <c r="L203" s="7"/>
      <c r="M203" s="7"/>
      <c r="N203" s="7"/>
      <c r="O203" s="7"/>
      <c r="P203" s="7"/>
      <c r="Q203" s="7"/>
      <c r="R203" s="7"/>
      <c r="S203" s="7"/>
      <c r="T203" s="7"/>
      <c r="U203" s="7"/>
      <c r="V203" s="7"/>
      <c r="W203" s="7"/>
    </row>
    <row r="204" spans="1:23" x14ac:dyDescent="0.25">
      <c r="A204" s="7"/>
      <c r="B204" s="7"/>
      <c r="C204" s="7"/>
      <c r="D204" s="7"/>
      <c r="E204" s="7"/>
      <c r="F204" s="7"/>
      <c r="G204" s="7"/>
      <c r="H204" s="7"/>
      <c r="I204" s="7"/>
      <c r="J204" s="7"/>
      <c r="K204" s="7"/>
      <c r="L204" s="7"/>
      <c r="M204" s="7"/>
      <c r="N204" s="7"/>
      <c r="O204" s="7"/>
      <c r="P204" s="7"/>
      <c r="Q204" s="7"/>
      <c r="R204" s="7"/>
      <c r="S204" s="7"/>
      <c r="T204" s="7"/>
      <c r="U204" s="7"/>
      <c r="V204" s="7"/>
      <c r="W204" s="7"/>
    </row>
    <row r="205" spans="1:23" x14ac:dyDescent="0.25">
      <c r="A205" s="7"/>
      <c r="B205" s="7"/>
      <c r="C205" s="7"/>
      <c r="D205" s="7"/>
      <c r="E205" s="7"/>
      <c r="F205" s="7"/>
      <c r="G205" s="7"/>
      <c r="H205" s="7"/>
      <c r="I205" s="7"/>
      <c r="J205" s="7"/>
      <c r="K205" s="7"/>
      <c r="L205" s="7"/>
      <c r="M205" s="7"/>
      <c r="N205" s="7"/>
      <c r="O205" s="7"/>
      <c r="P205" s="7"/>
      <c r="Q205" s="7"/>
      <c r="R205" s="7"/>
      <c r="S205" s="7"/>
      <c r="T205" s="7"/>
      <c r="U205" s="7"/>
      <c r="V205" s="7"/>
      <c r="W205" s="7"/>
    </row>
    <row r="206" spans="1:23" x14ac:dyDescent="0.25">
      <c r="A206" s="7"/>
      <c r="B206" s="7"/>
      <c r="C206" s="7"/>
      <c r="D206" s="7"/>
      <c r="E206" s="7"/>
      <c r="F206" s="7"/>
      <c r="G206" s="7"/>
      <c r="H206" s="7"/>
      <c r="I206" s="7"/>
      <c r="J206" s="7"/>
      <c r="K206" s="7"/>
      <c r="L206" s="7"/>
      <c r="M206" s="7"/>
      <c r="N206" s="7"/>
      <c r="O206" s="7"/>
      <c r="P206" s="7"/>
      <c r="Q206" s="7"/>
      <c r="R206" s="7"/>
      <c r="S206" s="7"/>
      <c r="T206" s="7"/>
      <c r="U206" s="7"/>
      <c r="V206" s="7"/>
      <c r="W206" s="7"/>
    </row>
    <row r="207" spans="1:23" x14ac:dyDescent="0.25">
      <c r="A207" s="7"/>
      <c r="B207" s="7"/>
      <c r="C207" s="7"/>
      <c r="D207" s="7"/>
      <c r="E207" s="7"/>
      <c r="F207" s="7"/>
      <c r="G207" s="7"/>
      <c r="H207" s="7"/>
      <c r="I207" s="7"/>
      <c r="J207" s="7"/>
      <c r="K207" s="7"/>
      <c r="L207" s="7"/>
      <c r="M207" s="7"/>
      <c r="N207" s="7"/>
      <c r="O207" s="7"/>
      <c r="P207" s="7"/>
      <c r="Q207" s="7"/>
      <c r="R207" s="7"/>
      <c r="S207" s="7"/>
      <c r="T207" s="7"/>
      <c r="U207" s="7"/>
      <c r="V207" s="7"/>
      <c r="W207" s="7"/>
    </row>
    <row r="208" spans="1:23" x14ac:dyDescent="0.25">
      <c r="A208" s="7"/>
      <c r="B208" s="7"/>
      <c r="C208" s="7"/>
      <c r="D208" s="7"/>
      <c r="E208" s="7"/>
      <c r="F208" s="7"/>
      <c r="G208" s="7"/>
      <c r="H208" s="7"/>
      <c r="I208" s="7"/>
      <c r="J208" s="7"/>
      <c r="K208" s="7"/>
      <c r="L208" s="7"/>
      <c r="M208" s="7"/>
      <c r="N208" s="7"/>
      <c r="O208" s="7"/>
      <c r="P208" s="7"/>
      <c r="Q208" s="7"/>
      <c r="R208" s="7"/>
      <c r="S208" s="7"/>
      <c r="T208" s="7"/>
      <c r="U208" s="7"/>
      <c r="V208" s="7"/>
      <c r="W208" s="7"/>
    </row>
    <row r="209" spans="1:23" x14ac:dyDescent="0.25">
      <c r="A209" s="7"/>
      <c r="B209" s="7"/>
      <c r="C209" s="7"/>
      <c r="D209" s="7"/>
      <c r="E209" s="7"/>
      <c r="F209" s="7"/>
      <c r="G209" s="7"/>
      <c r="H209" s="7"/>
      <c r="I209" s="7"/>
      <c r="J209" s="7"/>
      <c r="K209" s="7"/>
      <c r="L209" s="7"/>
      <c r="M209" s="7"/>
      <c r="N209" s="7"/>
      <c r="O209" s="7"/>
      <c r="P209" s="7"/>
      <c r="Q209" s="7"/>
      <c r="R209" s="7"/>
      <c r="S209" s="7"/>
      <c r="T209" s="7"/>
      <c r="U209" s="7"/>
      <c r="V209" s="7"/>
      <c r="W209" s="7"/>
    </row>
    <row r="210" spans="1:23" x14ac:dyDescent="0.25">
      <c r="A210" s="7"/>
      <c r="B210" s="7"/>
      <c r="C210" s="7"/>
      <c r="D210" s="7"/>
      <c r="E210" s="7"/>
      <c r="F210" s="7"/>
      <c r="G210" s="7"/>
      <c r="H210" s="7"/>
      <c r="I210" s="7"/>
      <c r="J210" s="7"/>
      <c r="K210" s="7"/>
      <c r="L210" s="7"/>
      <c r="M210" s="7"/>
      <c r="N210" s="7"/>
      <c r="O210" s="7"/>
      <c r="P210" s="7"/>
      <c r="Q210" s="7"/>
      <c r="R210" s="7"/>
      <c r="S210" s="7"/>
      <c r="T210" s="7"/>
      <c r="U210" s="7"/>
      <c r="V210" s="7"/>
      <c r="W210" s="7"/>
    </row>
    <row r="211" spans="1:23" x14ac:dyDescent="0.25">
      <c r="A211" s="7"/>
      <c r="B211" s="7"/>
      <c r="C211" s="7"/>
      <c r="D211" s="7"/>
      <c r="E211" s="7"/>
      <c r="F211" s="7"/>
      <c r="G211" s="7"/>
      <c r="H211" s="7"/>
      <c r="I211" s="7"/>
      <c r="J211" s="7"/>
      <c r="K211" s="7"/>
      <c r="L211" s="7"/>
      <c r="M211" s="7"/>
      <c r="N211" s="7"/>
      <c r="O211" s="7"/>
      <c r="P211" s="7"/>
      <c r="Q211" s="7"/>
      <c r="R211" s="7"/>
      <c r="S211" s="7"/>
      <c r="T211" s="7"/>
      <c r="U211" s="7"/>
      <c r="V211" s="7"/>
      <c r="W211" s="7"/>
    </row>
    <row r="212" spans="1:23" x14ac:dyDescent="0.25">
      <c r="A212" s="7"/>
      <c r="B212" s="7"/>
      <c r="C212" s="7"/>
      <c r="D212" s="7"/>
      <c r="E212" s="7"/>
      <c r="F212" s="7"/>
      <c r="G212" s="7"/>
      <c r="H212" s="7"/>
      <c r="I212" s="7"/>
      <c r="J212" s="7"/>
      <c r="K212" s="7"/>
      <c r="L212" s="7"/>
      <c r="M212" s="7"/>
      <c r="N212" s="7"/>
      <c r="O212" s="7"/>
      <c r="P212" s="7"/>
      <c r="Q212" s="7"/>
      <c r="R212" s="7"/>
      <c r="S212" s="7"/>
      <c r="T212" s="7"/>
      <c r="U212" s="7"/>
      <c r="V212" s="7"/>
      <c r="W212" s="7"/>
    </row>
    <row r="213" spans="1:23" x14ac:dyDescent="0.25">
      <c r="A213" s="7"/>
      <c r="B213" s="7"/>
      <c r="C213" s="7"/>
      <c r="D213" s="7"/>
      <c r="E213" s="7"/>
      <c r="F213" s="7"/>
      <c r="G213" s="7"/>
      <c r="H213" s="7"/>
      <c r="I213" s="7"/>
      <c r="J213" s="7"/>
      <c r="K213" s="7"/>
      <c r="L213" s="7"/>
      <c r="M213" s="7"/>
      <c r="N213" s="7"/>
      <c r="O213" s="7"/>
      <c r="P213" s="7"/>
      <c r="Q213" s="7"/>
      <c r="R213" s="7"/>
      <c r="S213" s="7"/>
      <c r="T213" s="7"/>
      <c r="U213" s="7"/>
      <c r="V213" s="7"/>
      <c r="W213" s="7"/>
    </row>
    <row r="214" spans="1:23" x14ac:dyDescent="0.25">
      <c r="A214" s="7"/>
      <c r="B214" s="7"/>
      <c r="C214" s="7"/>
      <c r="D214" s="7"/>
      <c r="E214" s="7"/>
      <c r="F214" s="7"/>
      <c r="G214" s="7"/>
      <c r="H214" s="7"/>
      <c r="I214" s="7"/>
      <c r="J214" s="7"/>
      <c r="K214" s="7"/>
      <c r="L214" s="7"/>
      <c r="M214" s="7"/>
      <c r="N214" s="7"/>
      <c r="O214" s="7"/>
      <c r="P214" s="7"/>
      <c r="Q214" s="7"/>
      <c r="R214" s="7"/>
      <c r="S214" s="7"/>
      <c r="T214" s="7"/>
      <c r="U214" s="7"/>
      <c r="V214" s="7"/>
      <c r="W214" s="7"/>
    </row>
    <row r="215" spans="1:23" x14ac:dyDescent="0.25">
      <c r="A215" s="7"/>
      <c r="B215" s="7"/>
      <c r="C215" s="7"/>
      <c r="D215" s="7"/>
      <c r="E215" s="7"/>
      <c r="F215" s="7"/>
      <c r="G215" s="7"/>
      <c r="H215" s="7"/>
      <c r="I215" s="7"/>
      <c r="J215" s="7"/>
      <c r="K215" s="7"/>
      <c r="L215" s="7"/>
      <c r="M215" s="7"/>
      <c r="N215" s="7"/>
      <c r="O215" s="7"/>
      <c r="P215" s="7"/>
      <c r="Q215" s="7"/>
      <c r="R215" s="7"/>
      <c r="S215" s="7"/>
      <c r="T215" s="7"/>
      <c r="U215" s="7"/>
      <c r="V215" s="7"/>
      <c r="W215" s="7"/>
    </row>
    <row r="216" spans="1:23" x14ac:dyDescent="0.25">
      <c r="A216" s="7"/>
      <c r="B216" s="7"/>
      <c r="C216" s="7"/>
      <c r="D216" s="7"/>
      <c r="E216" s="7"/>
      <c r="F216" s="7"/>
      <c r="G216" s="7"/>
      <c r="H216" s="7"/>
      <c r="I216" s="7"/>
      <c r="J216" s="7"/>
      <c r="K216" s="7"/>
      <c r="L216" s="7"/>
      <c r="M216" s="7"/>
      <c r="N216" s="7"/>
      <c r="O216" s="7"/>
      <c r="P216" s="7"/>
      <c r="Q216" s="7"/>
      <c r="R216" s="7"/>
      <c r="S216" s="7"/>
      <c r="T216" s="7"/>
      <c r="U216" s="7"/>
      <c r="V216" s="7"/>
      <c r="W216" s="7"/>
    </row>
    <row r="217" spans="1:23" x14ac:dyDescent="0.25">
      <c r="A217" s="7"/>
      <c r="B217" s="7"/>
      <c r="C217" s="7"/>
      <c r="D217" s="7"/>
      <c r="E217" s="7"/>
      <c r="F217" s="7"/>
      <c r="G217" s="7"/>
      <c r="H217" s="7"/>
      <c r="I217" s="7"/>
      <c r="J217" s="7"/>
      <c r="K217" s="7"/>
      <c r="L217" s="7"/>
      <c r="M217" s="7"/>
      <c r="N217" s="7"/>
      <c r="O217" s="7"/>
      <c r="P217" s="7"/>
      <c r="Q217" s="7"/>
      <c r="R217" s="7"/>
      <c r="S217" s="7"/>
      <c r="T217" s="7"/>
      <c r="U217" s="7"/>
      <c r="V217" s="7"/>
      <c r="W217" s="7"/>
    </row>
    <row r="218" spans="1:23" x14ac:dyDescent="0.25">
      <c r="A218" s="7"/>
      <c r="B218" s="7"/>
      <c r="C218" s="7"/>
      <c r="D218" s="7"/>
      <c r="E218" s="7"/>
      <c r="F218" s="7"/>
      <c r="G218" s="7"/>
      <c r="H218" s="7"/>
      <c r="I218" s="7"/>
      <c r="J218" s="7"/>
      <c r="K218" s="7"/>
      <c r="L218" s="7"/>
      <c r="M218" s="7"/>
      <c r="N218" s="7"/>
      <c r="O218" s="7"/>
      <c r="P218" s="7"/>
      <c r="Q218" s="7"/>
      <c r="R218" s="7"/>
      <c r="S218" s="7"/>
      <c r="T218" s="7"/>
      <c r="U218" s="7"/>
      <c r="V218" s="7"/>
      <c r="W218" s="7"/>
    </row>
    <row r="219" spans="1:23" x14ac:dyDescent="0.25">
      <c r="A219" s="7"/>
      <c r="B219" s="7"/>
      <c r="C219" s="7"/>
      <c r="D219" s="7"/>
      <c r="E219" s="7"/>
      <c r="F219" s="7"/>
      <c r="G219" s="7"/>
      <c r="H219" s="7"/>
      <c r="I219" s="7"/>
      <c r="J219" s="7"/>
      <c r="K219" s="7"/>
      <c r="L219" s="7"/>
      <c r="M219" s="7"/>
      <c r="N219" s="7"/>
      <c r="O219" s="7"/>
      <c r="P219" s="7"/>
      <c r="Q219" s="7"/>
      <c r="R219" s="7"/>
      <c r="S219" s="7"/>
      <c r="T219" s="7"/>
      <c r="U219" s="7"/>
      <c r="V219" s="7"/>
      <c r="W219" s="7"/>
    </row>
    <row r="220" spans="1:23" x14ac:dyDescent="0.25">
      <c r="A220" s="7"/>
      <c r="B220" s="7"/>
      <c r="C220" s="7"/>
      <c r="D220" s="7"/>
      <c r="E220" s="7"/>
      <c r="F220" s="7"/>
      <c r="G220" s="7"/>
      <c r="H220" s="7"/>
      <c r="I220" s="7"/>
      <c r="J220" s="7"/>
      <c r="K220" s="7"/>
      <c r="L220" s="7"/>
      <c r="M220" s="7"/>
      <c r="N220" s="7"/>
      <c r="O220" s="7"/>
      <c r="P220" s="7"/>
      <c r="Q220" s="7"/>
      <c r="R220" s="7"/>
      <c r="S220" s="7"/>
      <c r="T220" s="7"/>
      <c r="U220" s="7"/>
      <c r="V220" s="7"/>
      <c r="W220" s="7"/>
    </row>
    <row r="221" spans="1:23" x14ac:dyDescent="0.25">
      <c r="A221" s="7"/>
      <c r="B221" s="7"/>
      <c r="C221" s="7"/>
      <c r="D221" s="7"/>
      <c r="E221" s="7"/>
      <c r="F221" s="7"/>
      <c r="G221" s="7"/>
      <c r="H221" s="7"/>
      <c r="I221" s="7"/>
      <c r="J221" s="7"/>
      <c r="K221" s="7"/>
      <c r="L221" s="7"/>
      <c r="M221" s="7"/>
      <c r="N221" s="7"/>
      <c r="O221" s="7"/>
      <c r="P221" s="7"/>
      <c r="Q221" s="7"/>
      <c r="R221" s="7"/>
      <c r="S221" s="7"/>
      <c r="T221" s="7"/>
      <c r="U221" s="7"/>
      <c r="V221" s="7"/>
      <c r="W221" s="7"/>
    </row>
    <row r="222" spans="1:23" x14ac:dyDescent="0.25">
      <c r="A222" s="7"/>
      <c r="B222" s="7"/>
      <c r="C222" s="7"/>
      <c r="D222" s="7"/>
      <c r="E222" s="7"/>
      <c r="F222" s="7"/>
      <c r="G222" s="7"/>
      <c r="H222" s="7"/>
      <c r="I222" s="7"/>
      <c r="J222" s="7"/>
      <c r="K222" s="7"/>
      <c r="L222" s="7"/>
      <c r="M222" s="7"/>
      <c r="N222" s="7"/>
      <c r="O222" s="7"/>
      <c r="P222" s="7"/>
      <c r="Q222" s="7"/>
      <c r="R222" s="7"/>
      <c r="S222" s="7"/>
      <c r="T222" s="7"/>
      <c r="U222" s="7"/>
      <c r="V222" s="7"/>
      <c r="W222" s="7"/>
    </row>
    <row r="223" spans="1:23" x14ac:dyDescent="0.25">
      <c r="A223" s="7"/>
      <c r="B223" s="7"/>
      <c r="C223" s="7"/>
      <c r="D223" s="7"/>
      <c r="E223" s="7"/>
      <c r="F223" s="7"/>
      <c r="G223" s="7"/>
      <c r="H223" s="7"/>
      <c r="I223" s="7"/>
      <c r="J223" s="7"/>
      <c r="K223" s="7"/>
      <c r="L223" s="7"/>
      <c r="M223" s="7"/>
      <c r="N223" s="7"/>
      <c r="O223" s="7"/>
      <c r="P223" s="7"/>
      <c r="Q223" s="7"/>
      <c r="R223" s="7"/>
      <c r="S223" s="7"/>
      <c r="T223" s="7"/>
      <c r="U223" s="7"/>
      <c r="V223" s="7"/>
      <c r="W223" s="7"/>
    </row>
    <row r="224" spans="1:23" x14ac:dyDescent="0.25">
      <c r="A224" s="7"/>
      <c r="B224" s="7"/>
      <c r="C224" s="7"/>
      <c r="D224" s="7"/>
      <c r="E224" s="7"/>
      <c r="F224" s="7"/>
      <c r="G224" s="7"/>
      <c r="H224" s="7"/>
      <c r="I224" s="7"/>
      <c r="J224" s="7"/>
      <c r="K224" s="7"/>
      <c r="L224" s="7"/>
      <c r="M224" s="7"/>
      <c r="N224" s="7"/>
      <c r="O224" s="7"/>
      <c r="P224" s="7"/>
      <c r="Q224" s="7"/>
      <c r="R224" s="7"/>
      <c r="S224" s="7"/>
      <c r="T224" s="7"/>
      <c r="U224" s="7"/>
      <c r="V224" s="7"/>
      <c r="W224" s="7"/>
    </row>
    <row r="225" spans="1:23" x14ac:dyDescent="0.25">
      <c r="A225" s="7"/>
      <c r="B225" s="7"/>
      <c r="C225" s="7"/>
      <c r="D225" s="7"/>
      <c r="E225" s="7"/>
      <c r="F225" s="7"/>
      <c r="G225" s="7"/>
      <c r="H225" s="7"/>
      <c r="I225" s="7"/>
      <c r="J225" s="7"/>
      <c r="K225" s="7"/>
      <c r="L225" s="7"/>
      <c r="M225" s="7"/>
      <c r="N225" s="7"/>
      <c r="O225" s="7"/>
      <c r="P225" s="7"/>
      <c r="Q225" s="7"/>
      <c r="R225" s="7"/>
      <c r="S225" s="7"/>
      <c r="T225" s="7"/>
      <c r="U225" s="7"/>
      <c r="V225" s="7"/>
      <c r="W225" s="7"/>
    </row>
    <row r="226" spans="1:23" x14ac:dyDescent="0.25">
      <c r="A226" s="7"/>
      <c r="B226" s="7"/>
      <c r="C226" s="7"/>
      <c r="D226" s="7"/>
      <c r="E226" s="7"/>
      <c r="F226" s="7"/>
      <c r="G226" s="7"/>
      <c r="H226" s="7"/>
      <c r="I226" s="7"/>
      <c r="J226" s="7"/>
      <c r="K226" s="7"/>
      <c r="L226" s="7"/>
      <c r="M226" s="7"/>
      <c r="N226" s="7"/>
      <c r="O226" s="7"/>
      <c r="P226" s="7"/>
      <c r="Q226" s="7"/>
      <c r="R226" s="7"/>
      <c r="S226" s="7"/>
      <c r="T226" s="7"/>
      <c r="U226" s="7"/>
      <c r="V226" s="7"/>
      <c r="W226" s="7"/>
    </row>
    <row r="227" spans="1:23" x14ac:dyDescent="0.25">
      <c r="A227" s="7"/>
      <c r="B227" s="7"/>
      <c r="C227" s="7"/>
      <c r="D227" s="7"/>
      <c r="E227" s="7"/>
      <c r="F227" s="7"/>
      <c r="G227" s="7"/>
      <c r="H227" s="7"/>
      <c r="I227" s="7"/>
      <c r="J227" s="7"/>
      <c r="K227" s="7"/>
      <c r="L227" s="7"/>
      <c r="M227" s="7"/>
      <c r="N227" s="7"/>
      <c r="O227" s="7"/>
      <c r="P227" s="7"/>
      <c r="Q227" s="7"/>
      <c r="R227" s="7"/>
      <c r="S227" s="7"/>
      <c r="T227" s="7"/>
      <c r="U227" s="7"/>
      <c r="V227" s="7"/>
      <c r="W227" s="7"/>
    </row>
    <row r="228" spans="1:23" x14ac:dyDescent="0.25">
      <c r="A228" s="7"/>
      <c r="B228" s="7"/>
      <c r="C228" s="7"/>
      <c r="D228" s="7"/>
      <c r="E228" s="7"/>
      <c r="F228" s="7"/>
      <c r="G228" s="7"/>
      <c r="H228" s="7"/>
      <c r="I228" s="7"/>
      <c r="J228" s="7"/>
      <c r="K228" s="7"/>
      <c r="L228" s="7"/>
      <c r="M228" s="7"/>
      <c r="N228" s="7"/>
      <c r="O228" s="7"/>
      <c r="P228" s="7"/>
      <c r="Q228" s="7"/>
      <c r="R228" s="7"/>
      <c r="S228" s="7"/>
      <c r="T228" s="7"/>
      <c r="U228" s="7"/>
      <c r="V228" s="7"/>
      <c r="W228" s="7"/>
    </row>
    <row r="229" spans="1:23" x14ac:dyDescent="0.25">
      <c r="A229" s="7"/>
      <c r="B229" s="7"/>
      <c r="C229" s="7"/>
      <c r="D229" s="7"/>
      <c r="E229" s="7"/>
      <c r="F229" s="7"/>
      <c r="G229" s="7"/>
      <c r="H229" s="7"/>
      <c r="I229" s="7"/>
      <c r="J229" s="7"/>
      <c r="K229" s="7"/>
      <c r="L229" s="7"/>
      <c r="M229" s="7"/>
      <c r="N229" s="7"/>
      <c r="O229" s="7"/>
      <c r="P229" s="7"/>
      <c r="Q229" s="7"/>
      <c r="R229" s="7"/>
      <c r="S229" s="7"/>
      <c r="T229" s="7"/>
      <c r="U229" s="7"/>
      <c r="V229" s="7"/>
      <c r="W229" s="7"/>
    </row>
    <row r="230" spans="1:23" x14ac:dyDescent="0.25">
      <c r="A230" s="7"/>
      <c r="B230" s="7"/>
      <c r="C230" s="7"/>
      <c r="D230" s="7"/>
      <c r="E230" s="7"/>
      <c r="F230" s="7"/>
      <c r="G230" s="7"/>
      <c r="H230" s="7"/>
      <c r="I230" s="7"/>
      <c r="J230" s="7"/>
      <c r="K230" s="7"/>
      <c r="L230" s="7"/>
      <c r="M230" s="7"/>
      <c r="N230" s="7"/>
      <c r="O230" s="7"/>
      <c r="P230" s="7"/>
      <c r="Q230" s="7"/>
      <c r="R230" s="7"/>
      <c r="S230" s="7"/>
      <c r="T230" s="7"/>
      <c r="U230" s="7"/>
      <c r="V230" s="7"/>
      <c r="W230" s="7"/>
    </row>
    <row r="231" spans="1:23" x14ac:dyDescent="0.25">
      <c r="A231" s="7"/>
      <c r="B231" s="7"/>
      <c r="C231" s="7"/>
      <c r="D231" s="7"/>
      <c r="E231" s="7"/>
      <c r="F231" s="7"/>
      <c r="G231" s="7"/>
      <c r="H231" s="7"/>
      <c r="I231" s="7"/>
      <c r="J231" s="7"/>
      <c r="K231" s="7"/>
      <c r="L231" s="7"/>
      <c r="M231" s="7"/>
      <c r="N231" s="7"/>
      <c r="O231" s="7"/>
      <c r="P231" s="7"/>
      <c r="Q231" s="7"/>
      <c r="R231" s="7"/>
      <c r="S231" s="7"/>
      <c r="T231" s="7"/>
      <c r="U231" s="7"/>
      <c r="V231" s="7"/>
      <c r="W231" s="7"/>
    </row>
    <row r="232" spans="1:23" x14ac:dyDescent="0.25">
      <c r="A232" s="7"/>
      <c r="B232" s="7"/>
      <c r="C232" s="7"/>
      <c r="D232" s="7"/>
      <c r="E232" s="7"/>
      <c r="F232" s="7"/>
      <c r="G232" s="7"/>
      <c r="H232" s="7"/>
      <c r="I232" s="7"/>
      <c r="J232" s="7"/>
      <c r="K232" s="7"/>
      <c r="L232" s="7"/>
      <c r="M232" s="7"/>
      <c r="N232" s="7"/>
      <c r="O232" s="7"/>
      <c r="P232" s="7"/>
      <c r="Q232" s="7"/>
      <c r="R232" s="7"/>
      <c r="S232" s="7"/>
      <c r="T232" s="7"/>
      <c r="U232" s="7"/>
      <c r="V232" s="7"/>
      <c r="W232" s="7"/>
    </row>
    <row r="233" spans="1:23" x14ac:dyDescent="0.25">
      <c r="A233" s="7"/>
      <c r="B233" s="7"/>
      <c r="C233" s="7"/>
      <c r="D233" s="7"/>
      <c r="E233" s="7"/>
      <c r="F233" s="7"/>
      <c r="G233" s="7"/>
      <c r="H233" s="7"/>
      <c r="I233" s="7"/>
      <c r="J233" s="7"/>
      <c r="K233" s="7"/>
      <c r="L233" s="7"/>
      <c r="M233" s="7"/>
      <c r="N233" s="7"/>
      <c r="O233" s="7"/>
      <c r="P233" s="7"/>
      <c r="Q233" s="7"/>
      <c r="R233" s="7"/>
      <c r="S233" s="7"/>
      <c r="T233" s="7"/>
      <c r="U233" s="7"/>
      <c r="V233" s="7"/>
      <c r="W233" s="7"/>
    </row>
    <row r="234" spans="1:23" x14ac:dyDescent="0.25">
      <c r="A234" s="7"/>
      <c r="B234" s="7"/>
      <c r="C234" s="7"/>
      <c r="D234" s="7"/>
      <c r="E234" s="7"/>
      <c r="F234" s="7"/>
      <c r="G234" s="7"/>
      <c r="H234" s="7"/>
      <c r="I234" s="7"/>
      <c r="J234" s="7"/>
      <c r="K234" s="7"/>
      <c r="L234" s="7"/>
      <c r="M234" s="7"/>
      <c r="N234" s="7"/>
      <c r="O234" s="7"/>
      <c r="P234" s="7"/>
      <c r="Q234" s="7"/>
      <c r="R234" s="7"/>
      <c r="S234" s="7"/>
      <c r="T234" s="7"/>
      <c r="U234" s="7"/>
      <c r="V234" s="7"/>
      <c r="W234" s="7"/>
    </row>
    <row r="235" spans="1:23" x14ac:dyDescent="0.25">
      <c r="A235" s="7"/>
      <c r="B235" s="7"/>
      <c r="C235" s="7"/>
      <c r="D235" s="7"/>
      <c r="E235" s="7"/>
      <c r="F235" s="7"/>
      <c r="G235" s="7"/>
      <c r="H235" s="7"/>
      <c r="I235" s="7"/>
      <c r="J235" s="7"/>
      <c r="K235" s="7"/>
      <c r="L235" s="7"/>
      <c r="M235" s="7"/>
      <c r="N235" s="7"/>
      <c r="O235" s="7"/>
      <c r="P235" s="7"/>
      <c r="Q235" s="7"/>
      <c r="R235" s="7"/>
      <c r="S235" s="7"/>
      <c r="T235" s="7"/>
      <c r="U235" s="7"/>
      <c r="V235" s="7"/>
      <c r="W235" s="7"/>
    </row>
    <row r="236" spans="1:23" x14ac:dyDescent="0.25">
      <c r="A236" s="7"/>
      <c r="B236" s="7"/>
      <c r="C236" s="7"/>
      <c r="D236" s="7"/>
      <c r="E236" s="7"/>
      <c r="F236" s="7"/>
      <c r="G236" s="7"/>
      <c r="H236" s="7"/>
      <c r="I236" s="7"/>
      <c r="J236" s="7"/>
      <c r="K236" s="7"/>
      <c r="L236" s="7"/>
      <c r="M236" s="7"/>
      <c r="N236" s="7"/>
      <c r="O236" s="7"/>
      <c r="P236" s="7"/>
      <c r="Q236" s="7"/>
      <c r="R236" s="7"/>
      <c r="S236" s="7"/>
      <c r="T236" s="7"/>
      <c r="U236" s="7"/>
      <c r="V236" s="7"/>
      <c r="W236" s="7"/>
    </row>
    <row r="237" spans="1:23" x14ac:dyDescent="0.25">
      <c r="A237" s="7"/>
      <c r="B237" s="7"/>
      <c r="C237" s="7"/>
      <c r="D237" s="7"/>
      <c r="E237" s="7"/>
      <c r="F237" s="7"/>
      <c r="G237" s="7"/>
      <c r="H237" s="7"/>
      <c r="I237" s="7"/>
      <c r="J237" s="7"/>
      <c r="K237" s="7"/>
      <c r="L237" s="7"/>
      <c r="M237" s="7"/>
      <c r="N237" s="7"/>
      <c r="O237" s="7"/>
      <c r="P237" s="7"/>
      <c r="Q237" s="7"/>
      <c r="R237" s="7"/>
      <c r="S237" s="7"/>
      <c r="T237" s="7"/>
      <c r="U237" s="7"/>
      <c r="V237" s="7"/>
      <c r="W237" s="7"/>
    </row>
    <row r="238" spans="1:23" x14ac:dyDescent="0.25">
      <c r="A238" s="7"/>
      <c r="B238" s="7"/>
      <c r="C238" s="7"/>
      <c r="D238" s="7"/>
      <c r="E238" s="7"/>
      <c r="F238" s="7"/>
      <c r="G238" s="7"/>
      <c r="H238" s="7"/>
      <c r="I238" s="7"/>
      <c r="J238" s="7"/>
      <c r="K238" s="7"/>
      <c r="L238" s="7"/>
      <c r="M238" s="7"/>
      <c r="N238" s="7"/>
      <c r="O238" s="7"/>
      <c r="P238" s="7"/>
      <c r="Q238" s="7"/>
      <c r="R238" s="7"/>
      <c r="S238" s="7"/>
      <c r="T238" s="7"/>
      <c r="U238" s="7"/>
      <c r="V238" s="7"/>
      <c r="W238" s="7"/>
    </row>
    <row r="239" spans="1:23" x14ac:dyDescent="0.25">
      <c r="A239" s="7"/>
      <c r="B239" s="7"/>
      <c r="C239" s="7"/>
      <c r="D239" s="7"/>
      <c r="E239" s="7"/>
      <c r="F239" s="7"/>
      <c r="G239" s="7"/>
      <c r="H239" s="7"/>
      <c r="I239" s="7"/>
      <c r="J239" s="7"/>
      <c r="K239" s="7"/>
      <c r="L239" s="7"/>
      <c r="M239" s="7"/>
      <c r="N239" s="7"/>
      <c r="O239" s="7"/>
      <c r="P239" s="7"/>
      <c r="Q239" s="7"/>
      <c r="R239" s="7"/>
      <c r="S239" s="7"/>
      <c r="T239" s="7"/>
      <c r="U239" s="7"/>
      <c r="V239" s="7"/>
      <c r="W239" s="7"/>
    </row>
    <row r="240" spans="1:23" x14ac:dyDescent="0.25">
      <c r="A240" s="7"/>
      <c r="B240" s="7"/>
      <c r="C240" s="7"/>
      <c r="D240" s="7"/>
      <c r="E240" s="7"/>
      <c r="F240" s="7"/>
      <c r="G240" s="7"/>
      <c r="H240" s="7"/>
      <c r="I240" s="7"/>
      <c r="J240" s="7"/>
      <c r="K240" s="7"/>
      <c r="L240" s="7"/>
      <c r="M240" s="7"/>
      <c r="N240" s="7"/>
      <c r="O240" s="7"/>
      <c r="P240" s="7"/>
      <c r="Q240" s="7"/>
      <c r="R240" s="7"/>
      <c r="S240" s="7"/>
      <c r="T240" s="7"/>
      <c r="U240" s="7"/>
      <c r="V240" s="7"/>
      <c r="W240" s="7"/>
    </row>
    <row r="241" spans="1:23" x14ac:dyDescent="0.25">
      <c r="A241" s="7"/>
      <c r="B241" s="7"/>
      <c r="C241" s="7"/>
      <c r="D241" s="7"/>
      <c r="E241" s="7"/>
      <c r="F241" s="7"/>
      <c r="G241" s="7"/>
      <c r="H241" s="7"/>
      <c r="I241" s="7"/>
      <c r="J241" s="7"/>
      <c r="K241" s="7"/>
      <c r="L241" s="7"/>
      <c r="M241" s="7"/>
      <c r="N241" s="7"/>
      <c r="O241" s="7"/>
      <c r="P241" s="7"/>
      <c r="Q241" s="7"/>
      <c r="R241" s="7"/>
      <c r="S241" s="7"/>
      <c r="T241" s="7"/>
      <c r="U241" s="7"/>
      <c r="V241" s="7"/>
      <c r="W241" s="7"/>
    </row>
    <row r="242" spans="1:23" x14ac:dyDescent="0.25">
      <c r="A242" s="7"/>
      <c r="B242" s="7"/>
      <c r="C242" s="7"/>
      <c r="D242" s="7"/>
      <c r="E242" s="7"/>
      <c r="F242" s="7"/>
      <c r="G242" s="7"/>
      <c r="H242" s="7"/>
      <c r="I242" s="7"/>
      <c r="J242" s="7"/>
      <c r="K242" s="7"/>
      <c r="L242" s="7"/>
      <c r="M242" s="7"/>
      <c r="N242" s="7"/>
      <c r="O242" s="7"/>
      <c r="P242" s="7"/>
      <c r="Q242" s="7"/>
      <c r="R242" s="7"/>
      <c r="S242" s="7"/>
      <c r="T242" s="7"/>
      <c r="U242" s="7"/>
      <c r="V242" s="7"/>
      <c r="W242" s="7"/>
    </row>
    <row r="243" spans="1:23" x14ac:dyDescent="0.25">
      <c r="A243" s="7"/>
      <c r="B243" s="7"/>
      <c r="C243" s="7"/>
      <c r="D243" s="7"/>
      <c r="E243" s="7"/>
      <c r="F243" s="7"/>
      <c r="G243" s="7"/>
      <c r="H243" s="7"/>
      <c r="I243" s="7"/>
      <c r="J243" s="7"/>
      <c r="K243" s="7"/>
      <c r="L243" s="7"/>
      <c r="M243" s="7"/>
      <c r="N243" s="7"/>
      <c r="O243" s="7"/>
      <c r="P243" s="7"/>
      <c r="Q243" s="7"/>
      <c r="R243" s="7"/>
      <c r="S243" s="7"/>
      <c r="T243" s="7"/>
      <c r="U243" s="7"/>
      <c r="V243" s="7"/>
      <c r="W243" s="7"/>
    </row>
    <row r="244" spans="1:23" x14ac:dyDescent="0.25">
      <c r="A244" s="7"/>
      <c r="B244" s="7"/>
      <c r="C244" s="7"/>
      <c r="D244" s="7"/>
      <c r="E244" s="7"/>
      <c r="F244" s="7"/>
      <c r="G244" s="7"/>
      <c r="H244" s="7"/>
      <c r="I244" s="7"/>
      <c r="J244" s="7"/>
      <c r="K244" s="7"/>
      <c r="L244" s="7"/>
      <c r="M244" s="7"/>
      <c r="N244" s="7"/>
      <c r="O244" s="7"/>
      <c r="P244" s="7"/>
      <c r="Q244" s="7"/>
      <c r="R244" s="7"/>
      <c r="S244" s="7"/>
      <c r="T244" s="7"/>
      <c r="U244" s="7"/>
      <c r="V244" s="7"/>
      <c r="W244" s="7"/>
    </row>
    <row r="245" spans="1:23" x14ac:dyDescent="0.25">
      <c r="A245" s="7"/>
      <c r="B245" s="7"/>
      <c r="C245" s="7"/>
      <c r="D245" s="7"/>
      <c r="E245" s="7"/>
      <c r="F245" s="7"/>
      <c r="G245" s="7"/>
      <c r="H245" s="7"/>
      <c r="I245" s="7"/>
      <c r="J245" s="7"/>
      <c r="K245" s="7"/>
      <c r="L245" s="7"/>
      <c r="M245" s="7"/>
      <c r="N245" s="7"/>
      <c r="O245" s="7"/>
      <c r="P245" s="7"/>
      <c r="Q245" s="7"/>
      <c r="R245" s="7"/>
      <c r="S245" s="7"/>
      <c r="T245" s="7"/>
      <c r="U245" s="7"/>
      <c r="V245" s="7"/>
      <c r="W245" s="7"/>
    </row>
    <row r="246" spans="1:23" x14ac:dyDescent="0.25">
      <c r="A246" s="7"/>
      <c r="B246" s="7"/>
      <c r="C246" s="7"/>
      <c r="D246" s="7"/>
      <c r="E246" s="7"/>
      <c r="F246" s="7"/>
      <c r="G246" s="7"/>
      <c r="H246" s="7"/>
      <c r="I246" s="7"/>
      <c r="J246" s="7"/>
      <c r="K246" s="7"/>
      <c r="L246" s="7"/>
      <c r="M246" s="7"/>
      <c r="N246" s="7"/>
      <c r="O246" s="7"/>
      <c r="P246" s="7"/>
      <c r="Q246" s="7"/>
      <c r="R246" s="7"/>
      <c r="S246" s="7"/>
      <c r="T246" s="7"/>
      <c r="U246" s="7"/>
      <c r="V246" s="7"/>
      <c r="W246" s="7"/>
    </row>
    <row r="247" spans="1:23" x14ac:dyDescent="0.25">
      <c r="A247" s="7"/>
      <c r="B247" s="7"/>
      <c r="C247" s="7"/>
      <c r="D247" s="7"/>
      <c r="E247" s="7"/>
      <c r="F247" s="7"/>
      <c r="G247" s="7"/>
      <c r="H247" s="7"/>
      <c r="I247" s="7"/>
      <c r="J247" s="7"/>
      <c r="K247" s="7"/>
      <c r="L247" s="7"/>
      <c r="M247" s="7"/>
      <c r="N247" s="7"/>
      <c r="O247" s="7"/>
      <c r="P247" s="7"/>
      <c r="Q247" s="7"/>
      <c r="R247" s="7"/>
      <c r="S247" s="7"/>
      <c r="T247" s="7"/>
      <c r="U247" s="7"/>
      <c r="V247" s="7"/>
      <c r="W247" s="7"/>
    </row>
    <row r="248" spans="1:23" x14ac:dyDescent="0.25">
      <c r="A248" s="7"/>
      <c r="B248" s="7"/>
      <c r="C248" s="7"/>
      <c r="D248" s="7"/>
      <c r="E248" s="7"/>
      <c r="F248" s="7"/>
      <c r="G248" s="7"/>
      <c r="H248" s="7"/>
      <c r="I248" s="7"/>
      <c r="J248" s="7"/>
      <c r="K248" s="7"/>
      <c r="L248" s="7"/>
      <c r="M248" s="7"/>
      <c r="N248" s="7"/>
      <c r="O248" s="7"/>
      <c r="P248" s="7"/>
      <c r="Q248" s="7"/>
      <c r="R248" s="7"/>
      <c r="S248" s="7"/>
      <c r="T248" s="7"/>
      <c r="U248" s="7"/>
      <c r="V248" s="7"/>
      <c r="W248" s="7"/>
    </row>
    <row r="249" spans="1:23" x14ac:dyDescent="0.25">
      <c r="A249" s="7"/>
      <c r="B249" s="7"/>
      <c r="C249" s="7"/>
      <c r="D249" s="7"/>
      <c r="E249" s="7"/>
      <c r="F249" s="7"/>
      <c r="G249" s="7"/>
      <c r="H249" s="7"/>
      <c r="I249" s="7"/>
      <c r="J249" s="7"/>
      <c r="K249" s="7"/>
      <c r="L249" s="7"/>
      <c r="M249" s="7"/>
      <c r="N249" s="7"/>
      <c r="O249" s="7"/>
      <c r="P249" s="7"/>
      <c r="Q249" s="7"/>
      <c r="R249" s="7"/>
      <c r="S249" s="7"/>
      <c r="T249" s="7"/>
      <c r="U249" s="7"/>
      <c r="V249" s="7"/>
      <c r="W249" s="7"/>
    </row>
    <row r="250" spans="1:23" x14ac:dyDescent="0.25">
      <c r="A250" s="7"/>
      <c r="B250" s="7"/>
      <c r="C250" s="7"/>
      <c r="D250" s="7"/>
      <c r="E250" s="7"/>
      <c r="F250" s="7"/>
      <c r="G250" s="7"/>
      <c r="H250" s="7"/>
      <c r="I250" s="7"/>
      <c r="J250" s="7"/>
      <c r="K250" s="7"/>
      <c r="L250" s="7"/>
      <c r="M250" s="7"/>
      <c r="N250" s="7"/>
      <c r="O250" s="7"/>
      <c r="P250" s="7"/>
      <c r="Q250" s="7"/>
      <c r="R250" s="7"/>
      <c r="S250" s="7"/>
      <c r="T250" s="7"/>
      <c r="U250" s="7"/>
      <c r="V250" s="7"/>
      <c r="W250" s="7"/>
    </row>
    <row r="251" spans="1:23" x14ac:dyDescent="0.25">
      <c r="A251" s="7"/>
      <c r="B251" s="7"/>
      <c r="C251" s="7"/>
      <c r="D251" s="7"/>
      <c r="E251" s="7"/>
      <c r="F251" s="7"/>
      <c r="G251" s="7"/>
      <c r="H251" s="7"/>
      <c r="I251" s="7"/>
      <c r="J251" s="7"/>
      <c r="K251" s="7"/>
      <c r="L251" s="7"/>
      <c r="M251" s="7"/>
      <c r="N251" s="7"/>
      <c r="O251" s="7"/>
      <c r="P251" s="7"/>
      <c r="Q251" s="7"/>
      <c r="R251" s="7"/>
      <c r="S251" s="7"/>
      <c r="T251" s="7"/>
      <c r="U251" s="7"/>
      <c r="V251" s="7"/>
      <c r="W251" s="7"/>
    </row>
    <row r="252" spans="1:23" x14ac:dyDescent="0.25">
      <c r="A252" s="7"/>
      <c r="B252" s="7"/>
      <c r="C252" s="7"/>
      <c r="D252" s="7"/>
      <c r="E252" s="7"/>
      <c r="F252" s="7"/>
      <c r="G252" s="7"/>
      <c r="H252" s="7"/>
      <c r="I252" s="7"/>
      <c r="J252" s="7"/>
      <c r="K252" s="7"/>
      <c r="L252" s="7"/>
      <c r="M252" s="7"/>
      <c r="N252" s="7"/>
      <c r="O252" s="7"/>
      <c r="P252" s="7"/>
      <c r="Q252" s="7"/>
      <c r="R252" s="7"/>
      <c r="S252" s="7"/>
      <c r="T252" s="7"/>
      <c r="U252" s="7"/>
      <c r="V252" s="7"/>
      <c r="W252" s="7"/>
    </row>
    <row r="253" spans="1:23" x14ac:dyDescent="0.25">
      <c r="A253" s="7"/>
      <c r="B253" s="7"/>
      <c r="C253" s="7"/>
      <c r="D253" s="7"/>
      <c r="E253" s="7"/>
      <c r="F253" s="7"/>
      <c r="G253" s="7"/>
      <c r="H253" s="7"/>
      <c r="I253" s="7"/>
      <c r="J253" s="7"/>
      <c r="K253" s="7"/>
      <c r="L253" s="7"/>
      <c r="M253" s="7"/>
      <c r="N253" s="7"/>
      <c r="O253" s="7"/>
      <c r="P253" s="7"/>
      <c r="Q253" s="7"/>
      <c r="R253" s="7"/>
      <c r="S253" s="7"/>
      <c r="T253" s="7"/>
      <c r="U253" s="7"/>
      <c r="V253" s="7"/>
      <c r="W253" s="7"/>
    </row>
    <row r="254" spans="1:23" x14ac:dyDescent="0.25">
      <c r="A254" s="7"/>
      <c r="B254" s="7"/>
      <c r="C254" s="7"/>
      <c r="D254" s="7"/>
      <c r="E254" s="7"/>
      <c r="F254" s="7"/>
      <c r="G254" s="7"/>
      <c r="H254" s="7"/>
      <c r="I254" s="7"/>
      <c r="J254" s="7"/>
      <c r="K254" s="7"/>
      <c r="L254" s="7"/>
      <c r="M254" s="7"/>
      <c r="N254" s="7"/>
      <c r="O254" s="7"/>
      <c r="P254" s="7"/>
      <c r="Q254" s="7"/>
      <c r="R254" s="7"/>
      <c r="S254" s="7"/>
      <c r="T254" s="7"/>
      <c r="U254" s="7"/>
      <c r="V254" s="7"/>
      <c r="W254" s="7"/>
    </row>
    <row r="255" spans="1:23" x14ac:dyDescent="0.25">
      <c r="A255" s="7"/>
      <c r="B255" s="7"/>
      <c r="C255" s="7"/>
      <c r="D255" s="7"/>
      <c r="E255" s="7"/>
      <c r="F255" s="7"/>
      <c r="G255" s="7"/>
      <c r="H255" s="7"/>
      <c r="I255" s="7"/>
      <c r="J255" s="7"/>
      <c r="K255" s="7"/>
      <c r="L255" s="7"/>
      <c r="M255" s="7"/>
      <c r="N255" s="7"/>
      <c r="O255" s="7"/>
      <c r="P255" s="7"/>
      <c r="Q255" s="7"/>
      <c r="R255" s="7"/>
      <c r="S255" s="7"/>
      <c r="T255" s="7"/>
      <c r="U255" s="7"/>
      <c r="V255" s="7"/>
      <c r="W255" s="7"/>
    </row>
    <row r="256" spans="1:23" x14ac:dyDescent="0.25">
      <c r="A256" s="7"/>
      <c r="B256" s="7"/>
      <c r="C256" s="7"/>
      <c r="D256" s="7"/>
      <c r="E256" s="7"/>
      <c r="F256" s="7"/>
      <c r="G256" s="7"/>
      <c r="H256" s="7"/>
      <c r="I256" s="7"/>
      <c r="J256" s="7"/>
      <c r="K256" s="7"/>
      <c r="L256" s="7"/>
      <c r="M256" s="7"/>
      <c r="N256" s="7"/>
      <c r="O256" s="7"/>
      <c r="P256" s="7"/>
      <c r="Q256" s="7"/>
      <c r="R256" s="7"/>
      <c r="S256" s="7"/>
      <c r="T256" s="7"/>
      <c r="U256" s="7"/>
      <c r="V256" s="7"/>
      <c r="W256" s="7"/>
    </row>
    <row r="257" spans="1:23" x14ac:dyDescent="0.25">
      <c r="A257" s="7"/>
      <c r="B257" s="7"/>
      <c r="C257" s="7"/>
      <c r="D257" s="7"/>
      <c r="E257" s="7"/>
      <c r="F257" s="7"/>
      <c r="G257" s="7"/>
      <c r="H257" s="7"/>
      <c r="I257" s="7"/>
      <c r="J257" s="7"/>
      <c r="K257" s="7"/>
      <c r="L257" s="7"/>
      <c r="M257" s="7"/>
      <c r="N257" s="7"/>
      <c r="O257" s="7"/>
      <c r="P257" s="7"/>
      <c r="Q257" s="7"/>
      <c r="R257" s="7"/>
      <c r="S257" s="7"/>
      <c r="T257" s="7"/>
      <c r="U257" s="7"/>
      <c r="V257" s="7"/>
      <c r="W257" s="7"/>
    </row>
    <row r="258" spans="1:23" x14ac:dyDescent="0.25">
      <c r="A258" s="7"/>
      <c r="B258" s="7"/>
      <c r="C258" s="7"/>
      <c r="D258" s="7"/>
      <c r="E258" s="7"/>
      <c r="F258" s="7"/>
      <c r="G258" s="7"/>
      <c r="H258" s="7"/>
      <c r="I258" s="7"/>
      <c r="J258" s="7"/>
      <c r="K258" s="7"/>
      <c r="L258" s="7"/>
      <c r="M258" s="7"/>
      <c r="N258" s="7"/>
      <c r="O258" s="7"/>
      <c r="P258" s="7"/>
      <c r="Q258" s="7"/>
      <c r="R258" s="7"/>
      <c r="S258" s="7"/>
      <c r="T258" s="7"/>
      <c r="U258" s="7"/>
      <c r="V258" s="7"/>
      <c r="W258" s="7"/>
    </row>
    <row r="259" spans="1:23" x14ac:dyDescent="0.25">
      <c r="A259" s="7"/>
      <c r="B259" s="7"/>
      <c r="C259" s="7"/>
      <c r="D259" s="7"/>
      <c r="E259" s="7"/>
      <c r="F259" s="7"/>
      <c r="G259" s="7"/>
      <c r="H259" s="7"/>
      <c r="I259" s="7"/>
      <c r="J259" s="7"/>
      <c r="K259" s="7"/>
      <c r="L259" s="7"/>
      <c r="M259" s="7"/>
      <c r="N259" s="7"/>
      <c r="O259" s="7"/>
      <c r="P259" s="7"/>
      <c r="Q259" s="7"/>
      <c r="R259" s="7"/>
      <c r="S259" s="7"/>
      <c r="T259" s="7"/>
      <c r="U259" s="7"/>
      <c r="V259" s="7"/>
      <c r="W259" s="7"/>
    </row>
  </sheetData>
  <mergeCells count="1">
    <mergeCell ref="C1:T2"/>
  </mergeCells>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D21BD1AC-540C-4173-99DC-9E42584BC67B}">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dataset_1</vt:lpstr>
      <vt:lpstr>Sheet 1</vt:lpstr>
      <vt:lpstr>Sheet 2</vt:lpstr>
      <vt:lpstr>Sheet3</vt:lpstr>
      <vt:lpstr>Sheet4</vt:lpstr>
      <vt:lpstr>Final report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Praveen</dc:creator>
  <cp:lastModifiedBy>praveen pathak</cp:lastModifiedBy>
  <dcterms:created xsi:type="dcterms:W3CDTF">2026-06-27T18:06:36Z</dcterms:created>
  <dcterms:modified xsi:type="dcterms:W3CDTF">2026-07-21T08:55:45Z</dcterms:modified>
</cp:coreProperties>
</file>